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90D56028-E783-41D6-87F2-76D29A9E165F}" xr6:coauthVersionLast="47" xr6:coauthVersionMax="47" xr10:uidLastSave="{00000000-0000-0000-0000-000000000000}"/>
  <bookViews>
    <workbookView xWindow="-108" yWindow="-108" windowWidth="23256" windowHeight="12456" activeTab="4" xr2:uid="{D33ECADF-4D49-46F1-B160-06A57FBB8A20}"/>
  </bookViews>
  <sheets>
    <sheet name="WORKDAY()" sheetId="1" r:id="rId1"/>
    <sheet name="NETWORKDAYS()" sheetId="2" r:id="rId2"/>
    <sheet name="EDATE()" sheetId="3" r:id="rId3"/>
    <sheet name="EOMONTH()" sheetId="4" r:id="rId4"/>
    <sheet name="DATEDIF(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5" l="1"/>
  <c r="A12" i="5"/>
  <c r="A8" i="5"/>
  <c r="A6" i="5"/>
  <c r="A4" i="5"/>
  <c r="A13" i="4"/>
  <c r="A11" i="4"/>
  <c r="A9" i="4"/>
  <c r="A7" i="4"/>
  <c r="A5" i="4"/>
  <c r="A14" i="3"/>
  <c r="A12" i="3"/>
  <c r="A10" i="3"/>
  <c r="A8" i="3"/>
  <c r="A6" i="3"/>
  <c r="A12" i="2"/>
  <c r="H4" i="2"/>
  <c r="H2" i="2"/>
  <c r="A8" i="2"/>
  <c r="A6" i="2"/>
  <c r="A4" i="2"/>
  <c r="A13" i="1"/>
  <c r="A11" i="1"/>
  <c r="A9" i="1"/>
  <c r="A7" i="1"/>
  <c r="A5" i="1"/>
  <c r="A10" i="2" l="1"/>
</calcChain>
</file>

<file path=xl/sharedStrings.xml><?xml version="1.0" encoding="utf-8"?>
<sst xmlns="http://schemas.openxmlformats.org/spreadsheetml/2006/main" count="35" uniqueCount="34">
  <si>
    <t xml:space="preserve">WORKDAY </t>
  </si>
  <si>
    <r>
      <t xml:space="preserve">Returns a date </t>
    </r>
    <r>
      <rPr>
        <b/>
        <sz val="11"/>
        <color theme="1"/>
        <rFont val="Calibri"/>
        <family val="2"/>
        <scheme val="minor"/>
      </rPr>
      <t>after a given number of working days</t>
    </r>
    <r>
      <rPr>
        <sz val="11"/>
        <color theme="1"/>
        <rFont val="Calibri"/>
        <family val="2"/>
        <scheme val="minor"/>
      </rPr>
      <t xml:space="preserve">, excluding </t>
    </r>
    <r>
      <rPr>
        <b/>
        <sz val="11"/>
        <color theme="1"/>
        <rFont val="Calibri"/>
        <family val="2"/>
        <scheme val="minor"/>
      </rPr>
      <t>Saturdays and Sundays</t>
    </r>
    <r>
      <rPr>
        <sz val="11"/>
        <color theme="1"/>
        <rFont val="Calibri"/>
        <family val="2"/>
        <scheme val="minor"/>
      </rPr>
      <t>.</t>
    </r>
  </si>
  <si>
    <t>adds 5 days working</t>
  </si>
  <si>
    <t>adds 10 days working</t>
  </si>
  <si>
    <t>Goes back 5 working days.</t>
  </si>
  <si>
    <t>Next working day.</t>
  </si>
  <si>
    <t>Depends on today's date</t>
  </si>
  <si>
    <t>NETWORKDAYS()</t>
  </si>
  <si>
    <r>
      <t xml:space="preserve">Calculates the </t>
    </r>
    <r>
      <rPr>
        <b/>
        <sz val="11"/>
        <color theme="1"/>
        <rFont val="Calibri"/>
        <family val="2"/>
        <scheme val="minor"/>
      </rPr>
      <t>number of working days between two dates</t>
    </r>
    <r>
      <rPr>
        <sz val="11"/>
        <color theme="1"/>
        <rFont val="Calibri"/>
        <family val="2"/>
        <scheme val="minor"/>
      </rPr>
      <t>.</t>
    </r>
  </si>
  <si>
    <t>Working days in January</t>
  </si>
  <si>
    <t>Excludes Saturday and Sunday.</t>
  </si>
  <si>
    <t>Calculates business days.</t>
  </si>
  <si>
    <t>Useful for planning.</t>
  </si>
  <si>
    <t>EDATE()</t>
  </si>
  <si>
    <r>
      <t xml:space="preserve">Returns a date after adding or subtracting a specified number of </t>
    </r>
    <r>
      <rPr>
        <b/>
        <sz val="11"/>
        <color theme="1"/>
        <rFont val="Calibri"/>
        <family val="2"/>
        <scheme val="minor"/>
      </rPr>
      <t>months</t>
    </r>
    <r>
      <rPr>
        <sz val="11"/>
        <color theme="1"/>
        <rFont val="Calibri"/>
        <family val="2"/>
        <scheme val="minor"/>
      </rPr>
      <t>.</t>
    </r>
  </si>
  <si>
    <t>Adds 1 month.</t>
  </si>
  <si>
    <t>Adds 6 months.</t>
  </si>
  <si>
    <t>Subtracts 2 months.</t>
  </si>
  <si>
    <t>Adds 12 months.</t>
  </si>
  <si>
    <t>Adds 3 months.</t>
  </si>
  <si>
    <t>EOMONTH()</t>
  </si>
  <si>
    <t>Returns the last day of a month.</t>
  </si>
  <si>
    <t>End of current month.</t>
  </si>
  <si>
    <t>End of next month.</t>
  </si>
  <si>
    <t>End of previous month.</t>
  </si>
  <si>
    <t>Dynamic.</t>
  </si>
  <si>
    <t>End of month after 3 months.</t>
  </si>
  <si>
    <t>DATEDIF()</t>
  </si>
  <si>
    <t>Calculates the difference between two dates.</t>
  </si>
  <si>
    <t>Years difference.</t>
  </si>
  <si>
    <t>Complete months.</t>
  </si>
  <si>
    <t>Days difference.</t>
  </si>
  <si>
    <t>Calculates age.</t>
  </si>
  <si>
    <t>Remaining months after complete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</si>
</sst>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F800]dddd\,\ mmmm\ dd\,\ yyyy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169" fontId="0" fillId="0" borderId="0" xfId="0" applyNumberForma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A15AE-CB63-4065-8266-C8D0441EA07B}">
  <dimension ref="A1:C14"/>
  <sheetViews>
    <sheetView workbookViewId="0">
      <selection activeCell="C18" sqref="C18"/>
    </sheetView>
  </sheetViews>
  <sheetFormatPr defaultRowHeight="14.4"/>
  <cols>
    <col min="1" max="1" width="14.21875" bestFit="1" customWidth="1"/>
  </cols>
  <sheetData>
    <row r="1" spans="1:3" ht="18">
      <c r="A1" s="1" t="s">
        <v>0</v>
      </c>
    </row>
    <row r="2" spans="1:3">
      <c r="A2" t="s">
        <v>1</v>
      </c>
    </row>
    <row r="5" spans="1:3">
      <c r="A5" s="2">
        <f>WORKDAY("01-Jan-2026",5)</f>
        <v>46030</v>
      </c>
      <c r="C5" t="s">
        <v>2</v>
      </c>
    </row>
    <row r="7" spans="1:3">
      <c r="A7" s="2">
        <f>WORKDAY("06-Jul-2026",10)</f>
        <v>46223</v>
      </c>
      <c r="C7" t="s">
        <v>3</v>
      </c>
    </row>
    <row r="9" spans="1:3">
      <c r="A9" s="2">
        <f>WORKDAY("20-Aug-2026",-5)</f>
        <v>46247</v>
      </c>
      <c r="C9" t="s">
        <v>4</v>
      </c>
    </row>
    <row r="11" spans="1:3">
      <c r="A11" s="2">
        <f>WORKDAY("03-Aug-2026",1)</f>
        <v>46238</v>
      </c>
      <c r="C11" t="s">
        <v>5</v>
      </c>
    </row>
    <row r="13" spans="1:3">
      <c r="A13" s="2">
        <f ca="1">WORKDAY(TODAY(),20)</f>
        <v>46265</v>
      </c>
      <c r="C13" s="4" t="s">
        <v>6</v>
      </c>
    </row>
    <row r="14" spans="1:3">
      <c r="C14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89A95-07E6-4C5A-8E57-B2F30D059893}">
  <dimension ref="A1:H12"/>
  <sheetViews>
    <sheetView workbookViewId="0">
      <selection activeCell="B16" sqref="B16"/>
    </sheetView>
  </sheetViews>
  <sheetFormatPr defaultRowHeight="14.4"/>
  <cols>
    <col min="1" max="1" width="11.44140625" bestFit="1" customWidth="1"/>
    <col min="8" max="8" width="13.44140625" bestFit="1" customWidth="1"/>
  </cols>
  <sheetData>
    <row r="1" spans="1:8" ht="21">
      <c r="A1" s="7" t="s">
        <v>7</v>
      </c>
    </row>
    <row r="2" spans="1:8">
      <c r="A2" t="s">
        <v>8</v>
      </c>
      <c r="H2" s="2">
        <f ca="1">TODAY()</f>
        <v>46237</v>
      </c>
    </row>
    <row r="4" spans="1:8">
      <c r="A4">
        <f>NETWORKDAYS("01-Jan-2026","31-Jan-2026")</f>
        <v>22</v>
      </c>
      <c r="D4" t="s">
        <v>9</v>
      </c>
      <c r="H4" s="2">
        <f ca="1">WORKDAY(TODAY(),5)</f>
        <v>46244</v>
      </c>
    </row>
    <row r="6" spans="1:8">
      <c r="A6">
        <f>NETWORKDAYS("01-Jul-2026","10-Jul-2026")</f>
        <v>8</v>
      </c>
      <c r="D6" t="s">
        <v>10</v>
      </c>
    </row>
    <row r="8" spans="1:8">
      <c r="A8">
        <f>NETWORKDAYS("10-Aug-2026","20-Aug-2026")</f>
        <v>9</v>
      </c>
      <c r="D8" t="s">
        <v>11</v>
      </c>
    </row>
    <row r="10" spans="1:8">
      <c r="A10">
        <f ca="1">NETWORKDAYS(H2,H4)</f>
        <v>6</v>
      </c>
      <c r="D10" t="s">
        <v>11</v>
      </c>
    </row>
    <row r="12" spans="1:8">
      <c r="A12" s="8">
        <f ca="1">NETWORKDAYS(TODAY(),"31-Dec-2026")</f>
        <v>109</v>
      </c>
      <c r="D1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28B5-01D8-4B99-8C2D-937F0DAAF4DE}">
  <dimension ref="A1:D14"/>
  <sheetViews>
    <sheetView workbookViewId="0">
      <selection activeCell="A12" sqref="A12"/>
    </sheetView>
  </sheetViews>
  <sheetFormatPr defaultRowHeight="14.4"/>
  <cols>
    <col min="1" max="1" width="16.77734375" bestFit="1" customWidth="1"/>
  </cols>
  <sheetData>
    <row r="1" spans="1:4" ht="23.4">
      <c r="A1" s="6" t="s">
        <v>13</v>
      </c>
    </row>
    <row r="2" spans="1:4">
      <c r="A2" t="s">
        <v>14</v>
      </c>
    </row>
    <row r="5" spans="1:4">
      <c r="D5" s="5"/>
    </row>
    <row r="6" spans="1:4">
      <c r="A6" s="2">
        <f>EDATE("15-Jan-2026",1)</f>
        <v>46068</v>
      </c>
      <c r="D6" s="5" t="s">
        <v>15</v>
      </c>
    </row>
    <row r="8" spans="1:4">
      <c r="A8" s="2">
        <f>EDATE("20-Mar-2026",6)</f>
        <v>46285</v>
      </c>
      <c r="D8" t="s">
        <v>16</v>
      </c>
    </row>
    <row r="10" spans="1:4">
      <c r="A10" s="2">
        <f>EDATE("10-Dec-2026",-2)</f>
        <v>46305</v>
      </c>
      <c r="D10" t="s">
        <v>17</v>
      </c>
    </row>
    <row r="12" spans="1:4">
      <c r="A12" s="2">
        <f>EDATE("10-Dec-2026",-2)</f>
        <v>46305</v>
      </c>
      <c r="D12" t="s">
        <v>18</v>
      </c>
    </row>
    <row r="14" spans="1:4">
      <c r="A14" s="2">
        <f>EDATE("01-Apr-2026",3)</f>
        <v>46204</v>
      </c>
      <c r="D14" t="s">
        <v>19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8D96B-C3BB-475C-8394-AAB69C4B5000}">
  <dimension ref="A1:D13"/>
  <sheetViews>
    <sheetView workbookViewId="0">
      <selection activeCell="I14" sqref="I14"/>
    </sheetView>
  </sheetViews>
  <sheetFormatPr defaultRowHeight="14.4"/>
  <cols>
    <col min="1" max="1" width="14.21875" bestFit="1" customWidth="1"/>
  </cols>
  <sheetData>
    <row r="1" spans="1:4" ht="18">
      <c r="A1" s="1" t="s">
        <v>20</v>
      </c>
    </row>
    <row r="2" spans="1:4">
      <c r="A2" t="s">
        <v>21</v>
      </c>
    </row>
    <row r="5" spans="1:4">
      <c r="A5" s="2">
        <f>EOMONTH("15-Jan-2026",0)</f>
        <v>46053</v>
      </c>
      <c r="D5" t="s">
        <v>22</v>
      </c>
    </row>
    <row r="6" spans="1:4">
      <c r="A6" s="2"/>
    </row>
    <row r="7" spans="1:4">
      <c r="A7" s="2">
        <f>EOMONTH("20-Feb-2026",1)</f>
        <v>46112</v>
      </c>
      <c r="D7" t="s">
        <v>23</v>
      </c>
    </row>
    <row r="8" spans="1:4">
      <c r="A8" s="2"/>
    </row>
    <row r="9" spans="1:4">
      <c r="A9" s="2">
        <f>EOMONTH("05-May-2026",-1)</f>
        <v>46142</v>
      </c>
      <c r="D9" t="s">
        <v>24</v>
      </c>
    </row>
    <row r="10" spans="1:4">
      <c r="A10" s="2"/>
    </row>
    <row r="11" spans="1:4">
      <c r="A11" s="2">
        <f ca="1">EOMONTH(TODAY(),0)</f>
        <v>46265</v>
      </c>
      <c r="D11" t="s">
        <v>25</v>
      </c>
    </row>
    <row r="12" spans="1:4">
      <c r="A12" s="2"/>
    </row>
    <row r="13" spans="1:4">
      <c r="A13" s="2">
        <f>EOMONTH("10-Oct-2026",3)</f>
        <v>46418</v>
      </c>
      <c r="D13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A6EE0-05C2-498A-8811-FD13531A0BE1}">
  <dimension ref="A1:H12"/>
  <sheetViews>
    <sheetView tabSelected="1" workbookViewId="0">
      <selection activeCell="C14" sqref="C14"/>
    </sheetView>
  </sheetViews>
  <sheetFormatPr defaultRowHeight="14.4"/>
  <cols>
    <col min="8" max="8" width="9.44140625" bestFit="1" customWidth="1"/>
  </cols>
  <sheetData>
    <row r="1" spans="1:8" ht="21">
      <c r="A1" s="7" t="s">
        <v>27</v>
      </c>
    </row>
    <row r="2" spans="1:8">
      <c r="A2" t="s">
        <v>28</v>
      </c>
      <c r="H2" s="9">
        <v>39813</v>
      </c>
    </row>
    <row r="4" spans="1:8">
      <c r="A4">
        <f>DATEDIF("01-Jan-2020","01-Jan-2026","Y")</f>
        <v>6</v>
      </c>
      <c r="D4" t="s">
        <v>29</v>
      </c>
    </row>
    <row r="6" spans="1:8">
      <c r="A6">
        <f>DATEDIF("01-Jan-2026","15-Mar-2026","M")</f>
        <v>2</v>
      </c>
      <c r="D6" t="s">
        <v>30</v>
      </c>
    </row>
    <row r="8" spans="1:8">
      <c r="A8">
        <f>DATEDIF("01-Jan-2026","10-Jan-2026","D")</f>
        <v>9</v>
      </c>
      <c r="D8" t="s">
        <v>31</v>
      </c>
    </row>
    <row r="10" spans="1:8">
      <c r="A10">
        <f ca="1">DATEDIF(H2,TODAY(),"Y")</f>
        <v>17</v>
      </c>
      <c r="D10" t="s">
        <v>32</v>
      </c>
    </row>
    <row r="12" spans="1:8">
      <c r="A12">
        <f>DATEDIF("10-Feb-2026","20-Aug-2026","YM")</f>
        <v>6</v>
      </c>
      <c r="D1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WORKDAY()</vt:lpstr>
      <vt:lpstr>NETWORKDAYS()</vt:lpstr>
      <vt:lpstr>EDATE()</vt:lpstr>
      <vt:lpstr>EOMONTH()</vt:lpstr>
      <vt:lpstr>DATEDIF()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2026-08-03T06:30:57Z</dcterms:created>
  <dcterms:modified xsi:type="dcterms:W3CDTF">2026-08-03T07:24:10Z</dcterms:modified>
</cp:coreProperties>
</file>