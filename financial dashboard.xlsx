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C4FDE855-E696-45C0-9824-97C3E6573D09}" xr6:coauthVersionLast="47" xr6:coauthVersionMax="47" xr10:uidLastSave="{00000000-0000-0000-0000-000000000000}"/>
  <bookViews>
    <workbookView xWindow="-108" yWindow="-108" windowWidth="23256" windowHeight="12456" activeTab="2" xr2:uid="{A9D80341-FD9A-4686-8A30-B448481FABBC}"/>
  </bookViews>
  <sheets>
    <sheet name="Pivot Tables" sheetId="4" r:id="rId1"/>
    <sheet name="Raw Data" sheetId="1" r:id="rId2"/>
    <sheet name="Dashboard" sheetId="2" r:id="rId3"/>
  </sheets>
  <definedNames>
    <definedName name="Slicer_Department">#N/A</definedName>
    <definedName name="Slicer_Month">#N/A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1" l="1"/>
  <c r="N4" i="1"/>
  <c r="N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H12" i="4"/>
  <c r="E13" i="4"/>
  <c r="A13" i="4"/>
  <c r="H18" i="4" l="1"/>
  <c r="J15" i="4"/>
</calcChain>
</file>

<file path=xl/sharedStrings.xml><?xml version="1.0" encoding="utf-8"?>
<sst xmlns="http://schemas.openxmlformats.org/spreadsheetml/2006/main" count="285" uniqueCount="50">
  <si>
    <t>Date</t>
  </si>
  <si>
    <t>Month</t>
  </si>
  <si>
    <t>Department</t>
  </si>
  <si>
    <t>Region</t>
  </si>
  <si>
    <t>Revenue</t>
  </si>
  <si>
    <t>Expenses</t>
  </si>
  <si>
    <t>Budget</t>
  </si>
  <si>
    <t>Vendor</t>
  </si>
  <si>
    <t>Expense Category</t>
  </si>
  <si>
    <t>January</t>
  </si>
  <si>
    <t>Sales</t>
  </si>
  <si>
    <t>North</t>
  </si>
  <si>
    <t>ABC Pvt Ltd</t>
  </si>
  <si>
    <t>Salaries</t>
  </si>
  <si>
    <t>Marketing</t>
  </si>
  <si>
    <t>South</t>
  </si>
  <si>
    <t>Bright Ads</t>
  </si>
  <si>
    <t>HR</t>
  </si>
  <si>
    <t>East</t>
  </si>
  <si>
    <t>HR Solutions</t>
  </si>
  <si>
    <t>Finance</t>
  </si>
  <si>
    <t>West</t>
  </si>
  <si>
    <t>FinCorp</t>
  </si>
  <si>
    <t>Office Supplies</t>
  </si>
  <si>
    <t>IT</t>
  </si>
  <si>
    <t>Tech World</t>
  </si>
  <si>
    <t>Software</t>
  </si>
  <si>
    <t>Operations</t>
  </si>
  <si>
    <t>Logistics Hub</t>
  </si>
  <si>
    <t>Travel</t>
  </si>
  <si>
    <t>February</t>
  </si>
  <si>
    <t>Training</t>
  </si>
  <si>
    <t>March</t>
  </si>
  <si>
    <t>Utilities</t>
  </si>
  <si>
    <t>April</t>
  </si>
  <si>
    <t>May</t>
  </si>
  <si>
    <t>June</t>
  </si>
  <si>
    <t>July</t>
  </si>
  <si>
    <t>August</t>
  </si>
  <si>
    <t>Profit</t>
  </si>
  <si>
    <t>Profit Margin</t>
  </si>
  <si>
    <t>Row Labels</t>
  </si>
  <si>
    <t>Grand Total</t>
  </si>
  <si>
    <t>Sum of Revenue</t>
  </si>
  <si>
    <t>Sum of Expenses</t>
  </si>
  <si>
    <t>Sum of Profit</t>
  </si>
  <si>
    <t>Sum of Budget</t>
  </si>
  <si>
    <t>Total revneue</t>
  </si>
  <si>
    <t>total expenses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</si>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</sst>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0" borderId="0" xfId="0" applyFont="1" applyAlignment="1">
      <alignment horizontal="right" vertical="center"/>
    </xf>
    <xf numFmtId="15" fontId="0" fillId="0" borderId="0" xfId="0" applyNumberFormat="1" applyAlignment="1">
      <alignment vertical="center"/>
    </xf>
    <xf numFmtId="0" fontId="0" fillId="0" borderId="0" xfId="0" applyAlignment="1">
      <alignment vertical="center"/>
    </xf>
    <xf numFmtId="0" fontId="0" fillId="0" borderId="0" xfId="0" applyAlignment="1">
      <alignment horizontal="right" vertical="center"/>
    </xf>
    <xf numFmtId="10" fontId="1" fillId="0" borderId="0" xfId="0" applyNumberFormat="1" applyFont="1" applyAlignment="1">
      <alignment horizontal="right" vertical="center"/>
    </xf>
    <xf numFmtId="1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5">
    <dxf>
      <fill>
        <patternFill>
          <bgColor rgb="FF0B3D2E"/>
        </patternFill>
      </fill>
    </dxf>
    <dxf>
      <fill>
        <patternFill>
          <bgColor rgb="FF144D3D"/>
        </patternFill>
      </fill>
    </dxf>
    <dxf>
      <fill>
        <patternFill>
          <bgColor rgb="FF144D3D"/>
        </patternFill>
      </fil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144D3D" pivot="0" table="0" count="10" xr9:uid="{D7BA5FF7-D0E2-493C-86D1-EE991C3E3FFA}">
      <tableStyleElement type="wholeTable" dxfId="4"/>
      <tableStyleElement type="headerRow" dxfId="3"/>
    </tableStyle>
    <tableStyle name="Slicer Style 1" pivot="0" table="0" count="1" xr9:uid="{B053518C-A067-4409-A5A4-7461F6F745E7}">
      <tableStyleElement type="wholeTable" dxfId="2"/>
    </tableStyle>
    <tableStyle name="Slicer Style 2" pivot="0" table="0" count="2" xr9:uid="{BB031469-F2F3-4CD5-A0B3-8AE2FFCB5D9F}">
      <tableStyleElement type="wholeTable" dxfId="1"/>
      <tableStyleElement type="headerRow" dxfId="0"/>
    </tableStyle>
  </tableStyles>
  <colors>
    <mruColors>
      <color rgb="FFD4AF37"/>
      <color rgb="FF0B3D2E"/>
      <color rgb="FF144D3D"/>
      <color rgb="FF00C853"/>
      <color rgb="FFFF6B6B"/>
      <color rgb="FF69F0AE"/>
      <color rgb="FF0F3D2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144D3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[financial dashboard.xlsx]Pivot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lumMod val="95000"/>
                  </a:schemeClr>
                </a:solidFill>
              </a:rPr>
              <a:t>Monthly Revenue vs Expenses</a:t>
            </a:r>
            <a:endParaRPr lang="en-US"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6"/>
              </a:solidFill>
              <a:round/>
            </a:ln>
            <a:effectLst/>
          </c:spPr>
          <c:marker>
            <c:symbol val="none"/>
          </c:marker>
          <c:cat>
            <c:strRef>
              <c:f>'Pivot Tables'!$A$4:$A$12</c:f>
              <c:strCache>
                <c:ptCount val="8"/>
                <c:pt idx="0">
                  <c:v>January</c:v>
                </c:pt>
                <c:pt idx="1">
                  <c:v>February</c:v>
                </c:pt>
                <c:pt idx="2">
                  <c:v>March</c:v>
                </c:pt>
                <c:pt idx="3">
                  <c:v>April</c:v>
                </c:pt>
                <c:pt idx="4">
                  <c:v>May</c:v>
                </c:pt>
                <c:pt idx="5">
                  <c:v>June</c:v>
                </c:pt>
                <c:pt idx="6">
                  <c:v>July</c:v>
                </c:pt>
                <c:pt idx="7">
                  <c:v>August</c:v>
                </c:pt>
              </c:strCache>
            </c:strRef>
          </c:cat>
          <c:val>
            <c:numRef>
              <c:f>'Pivot Tables'!$B$4:$B$12</c:f>
              <c:numCache>
                <c:formatCode>General</c:formatCode>
                <c:ptCount val="8"/>
                <c:pt idx="0">
                  <c:v>573000</c:v>
                </c:pt>
                <c:pt idx="1">
                  <c:v>496000</c:v>
                </c:pt>
                <c:pt idx="2">
                  <c:v>502000</c:v>
                </c:pt>
                <c:pt idx="3">
                  <c:v>462000</c:v>
                </c:pt>
                <c:pt idx="4">
                  <c:v>534000</c:v>
                </c:pt>
                <c:pt idx="5">
                  <c:v>508000</c:v>
                </c:pt>
                <c:pt idx="6">
                  <c:v>558000</c:v>
                </c:pt>
                <c:pt idx="7">
                  <c:v>604000</c:v>
                </c:pt>
              </c:numCache>
            </c:numRef>
          </c:val>
          <c:smooth val="0"/>
          <c:extLst>
            <c:ext xmlns:c16="http://schemas.microsoft.com/office/drawing/2014/chart" uri="{C3380CC4-5D6E-409C-BE32-E72D297353CC}">
              <c16:uniqueId val="{00000000-B63A-4EF3-A241-6510D89B6882}"/>
            </c:ext>
          </c:extLst>
        </c:ser>
        <c:dLbls>
          <c:showLegendKey val="0"/>
          <c:showVal val="0"/>
          <c:showCatName val="0"/>
          <c:showSerName val="0"/>
          <c:showPercent val="0"/>
          <c:showBubbleSize val="0"/>
        </c:dLbls>
        <c:smooth val="0"/>
        <c:axId val="1838189439"/>
        <c:axId val="1838186079"/>
      </c:lineChart>
      <c:catAx>
        <c:axId val="183818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838186079"/>
        <c:crosses val="autoZero"/>
        <c:auto val="1"/>
        <c:lblAlgn val="ctr"/>
        <c:lblOffset val="100"/>
        <c:noMultiLvlLbl val="0"/>
      </c:catAx>
      <c:valAx>
        <c:axId val="183818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83818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Tables'!$H$2</c:f>
              <c:strCache>
                <c:ptCount val="1"/>
                <c:pt idx="0">
                  <c:v>Total</c:v>
                </c:pt>
              </c:strCache>
            </c:strRef>
          </c:tx>
          <c:spPr>
            <a:solidFill>
              <a:srgbClr val="D4AF37"/>
            </a:solidFill>
            <a:ln>
              <a:noFill/>
            </a:ln>
            <a:effectLst/>
          </c:spPr>
          <c:invertIfNegative val="0"/>
          <c:cat>
            <c:strRef>
              <c:f>'Pivot Tables'!$G$3:$G$11</c:f>
              <c:strCache>
                <c:ptCount val="8"/>
                <c:pt idx="0">
                  <c:v>January</c:v>
                </c:pt>
                <c:pt idx="1">
                  <c:v>February</c:v>
                </c:pt>
                <c:pt idx="2">
                  <c:v>March</c:v>
                </c:pt>
                <c:pt idx="3">
                  <c:v>April</c:v>
                </c:pt>
                <c:pt idx="4">
                  <c:v>May</c:v>
                </c:pt>
                <c:pt idx="5">
                  <c:v>June</c:v>
                </c:pt>
                <c:pt idx="6">
                  <c:v>July</c:v>
                </c:pt>
                <c:pt idx="7">
                  <c:v>August</c:v>
                </c:pt>
              </c:strCache>
            </c:strRef>
          </c:cat>
          <c:val>
            <c:numRef>
              <c:f>'Pivot Tables'!$H$3:$H$11</c:f>
              <c:numCache>
                <c:formatCode>General</c:formatCode>
                <c:ptCount val="8"/>
                <c:pt idx="0">
                  <c:v>208000</c:v>
                </c:pt>
                <c:pt idx="1">
                  <c:v>189000</c:v>
                </c:pt>
                <c:pt idx="2">
                  <c:v>183000</c:v>
                </c:pt>
                <c:pt idx="3">
                  <c:v>169000</c:v>
                </c:pt>
                <c:pt idx="4">
                  <c:v>196000</c:v>
                </c:pt>
                <c:pt idx="5">
                  <c:v>182000</c:v>
                </c:pt>
                <c:pt idx="6">
                  <c:v>211000</c:v>
                </c:pt>
                <c:pt idx="7">
                  <c:v>226000</c:v>
                </c:pt>
              </c:numCache>
            </c:numRef>
          </c:val>
          <c:extLst>
            <c:ext xmlns:c16="http://schemas.microsoft.com/office/drawing/2014/chart" uri="{C3380CC4-5D6E-409C-BE32-E72D297353CC}">
              <c16:uniqueId val="{00000000-FE42-421B-9BE9-4AA137E54643}"/>
            </c:ext>
          </c:extLst>
        </c:ser>
        <c:dLbls>
          <c:showLegendKey val="0"/>
          <c:showVal val="0"/>
          <c:showCatName val="0"/>
          <c:showSerName val="0"/>
          <c:showPercent val="0"/>
          <c:showBubbleSize val="0"/>
        </c:dLbls>
        <c:gapWidth val="150"/>
        <c:overlap val="100"/>
        <c:axId val="1838574335"/>
        <c:axId val="1838576735"/>
      </c:barChart>
      <c:catAx>
        <c:axId val="183857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838576735"/>
        <c:crosses val="autoZero"/>
        <c:auto val="1"/>
        <c:lblAlgn val="ctr"/>
        <c:lblOffset val="100"/>
        <c:noMultiLvlLbl val="0"/>
      </c:catAx>
      <c:valAx>
        <c:axId val="183857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83857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 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9F0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Tables'!$K$3</c:f>
              <c:strCache>
                <c:ptCount val="1"/>
                <c:pt idx="0">
                  <c:v>Total</c:v>
                </c:pt>
              </c:strCache>
            </c:strRef>
          </c:tx>
          <c:spPr>
            <a:solidFill>
              <a:srgbClr val="69F0AE"/>
            </a:solidFill>
            <a:ln>
              <a:noFill/>
            </a:ln>
            <a:effectLst/>
          </c:spPr>
          <c:invertIfNegative val="0"/>
          <c:cat>
            <c:strRef>
              <c:f>'Pivot Tables'!$J$4:$J$10</c:f>
              <c:strCache>
                <c:ptCount val="6"/>
                <c:pt idx="0">
                  <c:v>Finance</c:v>
                </c:pt>
                <c:pt idx="1">
                  <c:v>HR</c:v>
                </c:pt>
                <c:pt idx="2">
                  <c:v>IT</c:v>
                </c:pt>
                <c:pt idx="3">
                  <c:v>Marketing</c:v>
                </c:pt>
                <c:pt idx="4">
                  <c:v>Operations</c:v>
                </c:pt>
                <c:pt idx="5">
                  <c:v>Sales</c:v>
                </c:pt>
              </c:strCache>
            </c:strRef>
          </c:cat>
          <c:val>
            <c:numRef>
              <c:f>'Pivot Tables'!$K$4:$K$10</c:f>
              <c:numCache>
                <c:formatCode>General</c:formatCode>
                <c:ptCount val="6"/>
                <c:pt idx="0">
                  <c:v>637000</c:v>
                </c:pt>
                <c:pt idx="1">
                  <c:v>450000</c:v>
                </c:pt>
                <c:pt idx="2">
                  <c:v>803000</c:v>
                </c:pt>
                <c:pt idx="3">
                  <c:v>739000</c:v>
                </c:pt>
                <c:pt idx="4">
                  <c:v>633000</c:v>
                </c:pt>
                <c:pt idx="5">
                  <c:v>975000</c:v>
                </c:pt>
              </c:numCache>
            </c:numRef>
          </c:val>
          <c:extLst>
            <c:ext xmlns:c16="http://schemas.microsoft.com/office/drawing/2014/chart" uri="{C3380CC4-5D6E-409C-BE32-E72D297353CC}">
              <c16:uniqueId val="{00000000-1197-4BEE-885E-76E9B1173398}"/>
            </c:ext>
          </c:extLst>
        </c:ser>
        <c:dLbls>
          <c:showLegendKey val="0"/>
          <c:showVal val="0"/>
          <c:showCatName val="0"/>
          <c:showSerName val="0"/>
          <c:showPercent val="0"/>
          <c:showBubbleSize val="0"/>
        </c:dLbls>
        <c:gapWidth val="150"/>
        <c:overlap val="100"/>
        <c:axId val="2098143487"/>
        <c:axId val="2098143967"/>
      </c:barChart>
      <c:catAx>
        <c:axId val="209814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8143967"/>
        <c:crosses val="autoZero"/>
        <c:auto val="1"/>
        <c:lblAlgn val="ctr"/>
        <c:lblOffset val="100"/>
        <c:noMultiLvlLbl val="0"/>
      </c:catAx>
      <c:valAx>
        <c:axId val="2098143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81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 Tables!PivotTable6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4A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Tables'!$E$16</c:f>
              <c:strCache>
                <c:ptCount val="1"/>
                <c:pt idx="0">
                  <c:v>Sum of Budget</c:v>
                </c:pt>
              </c:strCache>
            </c:strRef>
          </c:tx>
          <c:spPr>
            <a:solidFill>
              <a:srgbClr val="D4AF37"/>
            </a:solidFill>
            <a:ln>
              <a:noFill/>
            </a:ln>
            <a:effectLst/>
          </c:spPr>
          <c:cat>
            <c:strRef>
              <c:f>'Pivot Tables'!$D$17:$D$23</c:f>
              <c:strCache>
                <c:ptCount val="6"/>
                <c:pt idx="0">
                  <c:v>Finance</c:v>
                </c:pt>
                <c:pt idx="1">
                  <c:v>HR</c:v>
                </c:pt>
                <c:pt idx="2">
                  <c:v>IT</c:v>
                </c:pt>
                <c:pt idx="3">
                  <c:v>Marketing</c:v>
                </c:pt>
                <c:pt idx="4">
                  <c:v>Operations</c:v>
                </c:pt>
                <c:pt idx="5">
                  <c:v>Sales</c:v>
                </c:pt>
              </c:strCache>
            </c:strRef>
          </c:cat>
          <c:val>
            <c:numRef>
              <c:f>'Pivot Tables'!$E$17:$E$23</c:f>
              <c:numCache>
                <c:formatCode>General</c:formatCode>
                <c:ptCount val="6"/>
                <c:pt idx="0">
                  <c:v>412000</c:v>
                </c:pt>
                <c:pt idx="1">
                  <c:v>316000</c:v>
                </c:pt>
                <c:pt idx="2">
                  <c:v>532000</c:v>
                </c:pt>
                <c:pt idx="3">
                  <c:v>495000</c:v>
                </c:pt>
                <c:pt idx="4">
                  <c:v>457000</c:v>
                </c:pt>
                <c:pt idx="5">
                  <c:v>611000</c:v>
                </c:pt>
              </c:numCache>
            </c:numRef>
          </c:val>
          <c:extLst>
            <c:ext xmlns:c16="http://schemas.microsoft.com/office/drawing/2014/chart" uri="{C3380CC4-5D6E-409C-BE32-E72D297353CC}">
              <c16:uniqueId val="{00000000-8BCB-44AE-89C4-8E5A0FF57DDD}"/>
            </c:ext>
          </c:extLst>
        </c:ser>
        <c:ser>
          <c:idx val="1"/>
          <c:order val="1"/>
          <c:tx>
            <c:strRef>
              <c:f>'Pivot Tables'!$F$16</c:f>
              <c:strCache>
                <c:ptCount val="1"/>
                <c:pt idx="0">
                  <c:v>Sum of Expenses</c:v>
                </c:pt>
              </c:strCache>
            </c:strRef>
          </c:tx>
          <c:spPr>
            <a:solidFill>
              <a:srgbClr val="FF6B6B"/>
            </a:solidFill>
            <a:ln>
              <a:noFill/>
            </a:ln>
            <a:effectLst/>
          </c:spPr>
          <c:cat>
            <c:strRef>
              <c:f>'Pivot Tables'!$D$17:$D$23</c:f>
              <c:strCache>
                <c:ptCount val="6"/>
                <c:pt idx="0">
                  <c:v>Finance</c:v>
                </c:pt>
                <c:pt idx="1">
                  <c:v>HR</c:v>
                </c:pt>
                <c:pt idx="2">
                  <c:v>IT</c:v>
                </c:pt>
                <c:pt idx="3">
                  <c:v>Marketing</c:v>
                </c:pt>
                <c:pt idx="4">
                  <c:v>Operations</c:v>
                </c:pt>
                <c:pt idx="5">
                  <c:v>Sales</c:v>
                </c:pt>
              </c:strCache>
            </c:strRef>
          </c:cat>
          <c:val>
            <c:numRef>
              <c:f>'Pivot Tables'!$F$17:$F$23</c:f>
              <c:numCache>
                <c:formatCode>General</c:formatCode>
                <c:ptCount val="6"/>
                <c:pt idx="0">
                  <c:v>388000</c:v>
                </c:pt>
                <c:pt idx="1">
                  <c:v>294000</c:v>
                </c:pt>
                <c:pt idx="2">
                  <c:v>497000</c:v>
                </c:pt>
                <c:pt idx="3">
                  <c:v>467000</c:v>
                </c:pt>
                <c:pt idx="4">
                  <c:v>443000</c:v>
                </c:pt>
                <c:pt idx="5">
                  <c:v>584000</c:v>
                </c:pt>
              </c:numCache>
            </c:numRef>
          </c:val>
          <c:extLst>
            <c:ext xmlns:c16="http://schemas.microsoft.com/office/drawing/2014/chart" uri="{C3380CC4-5D6E-409C-BE32-E72D297353CC}">
              <c16:uniqueId val="{00000001-8BCB-44AE-89C4-8E5A0FF57DDD}"/>
            </c:ext>
          </c:extLst>
        </c:ser>
        <c:dLbls>
          <c:showLegendKey val="0"/>
          <c:showVal val="0"/>
          <c:showCatName val="0"/>
          <c:showSerName val="0"/>
          <c:showPercent val="0"/>
          <c:showBubbleSize val="0"/>
        </c:dLbls>
        <c:axId val="665928623"/>
        <c:axId val="665930543"/>
      </c:areaChart>
      <c:catAx>
        <c:axId val="66592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930543"/>
        <c:crosses val="autoZero"/>
        <c:auto val="1"/>
        <c:lblAlgn val="ctr"/>
        <c:lblOffset val="100"/>
        <c:noMultiLvlLbl val="0"/>
      </c:catAx>
      <c:valAx>
        <c:axId val="66593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5928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19</xdr:col>
      <xdr:colOff>152400</xdr:colOff>
      <xdr:row>39</xdr:row>
      <xdr:rowOff>60960</xdr:rowOff>
    </xdr:to>
    <xdr:sp macro="" textlink="">
      <xdr:nvSpPr>
        <xdr:cNvPr id="2" name="Rectangle: Rounded Corners 1">
          <a:extLst>
            <a:ext uri="{FF2B5EF4-FFF2-40B4-BE49-F238E27FC236}">
              <a16:creationId xmlns:a16="http://schemas.microsoft.com/office/drawing/2014/main" id="{39D247C9-94CB-AC9E-C887-7DA1F5725206}"/>
            </a:ext>
          </a:extLst>
        </xdr:cNvPr>
        <xdr:cNvSpPr/>
      </xdr:nvSpPr>
      <xdr:spPr>
        <a:xfrm>
          <a:off x="38100" y="0"/>
          <a:ext cx="11696700" cy="7193280"/>
        </a:xfrm>
        <a:prstGeom prst="roundRect">
          <a:avLst>
            <a:gd name="adj" fmla="val 1541"/>
          </a:avLst>
        </a:prstGeom>
        <a:solidFill>
          <a:srgbClr val="0B3D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xdr:colOff>
      <xdr:row>6</xdr:row>
      <xdr:rowOff>22860</xdr:rowOff>
    </xdr:from>
    <xdr:to>
      <xdr:col>6</xdr:col>
      <xdr:colOff>465660</xdr:colOff>
      <xdr:row>10</xdr:row>
      <xdr:rowOff>162540</xdr:rowOff>
    </xdr:to>
    <xdr:sp macro="" textlink="">
      <xdr:nvSpPr>
        <xdr:cNvPr id="3" name="Rectangle: Rounded Corners 2">
          <a:extLst>
            <a:ext uri="{FF2B5EF4-FFF2-40B4-BE49-F238E27FC236}">
              <a16:creationId xmlns:a16="http://schemas.microsoft.com/office/drawing/2014/main" id="{8F0F7FCA-9F24-D0C8-ABB5-5244E2682E1A}"/>
            </a:ext>
          </a:extLst>
        </xdr:cNvPr>
        <xdr:cNvSpPr/>
      </xdr:nvSpPr>
      <xdr:spPr>
        <a:xfrm>
          <a:off x="1851660" y="1120140"/>
          <a:ext cx="2271600" cy="871200"/>
        </a:xfrm>
        <a:prstGeom prst="roundRect">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100" b="1">
              <a:solidFill>
                <a:schemeClr val="bg1"/>
              </a:solidFill>
            </a:rPr>
            <a:t>TOTAL REVENUE</a:t>
          </a:r>
        </a:p>
      </xdr:txBody>
    </xdr:sp>
    <xdr:clientData/>
  </xdr:twoCellAnchor>
  <xdr:twoCellAnchor>
    <xdr:from>
      <xdr:col>7</xdr:col>
      <xdr:colOff>91440</xdr:colOff>
      <xdr:row>6</xdr:row>
      <xdr:rowOff>30480</xdr:rowOff>
    </xdr:from>
    <xdr:to>
      <xdr:col>10</xdr:col>
      <xdr:colOff>534240</xdr:colOff>
      <xdr:row>10</xdr:row>
      <xdr:rowOff>170160</xdr:rowOff>
    </xdr:to>
    <xdr:sp macro="" textlink="">
      <xdr:nvSpPr>
        <xdr:cNvPr id="4" name="Rectangle: Rounded Corners 3">
          <a:extLst>
            <a:ext uri="{FF2B5EF4-FFF2-40B4-BE49-F238E27FC236}">
              <a16:creationId xmlns:a16="http://schemas.microsoft.com/office/drawing/2014/main" id="{205E0AA8-24A9-455E-8A3A-F543931C65AB}"/>
            </a:ext>
          </a:extLst>
        </xdr:cNvPr>
        <xdr:cNvSpPr/>
      </xdr:nvSpPr>
      <xdr:spPr>
        <a:xfrm>
          <a:off x="4358640" y="1127760"/>
          <a:ext cx="2271600" cy="871200"/>
        </a:xfrm>
        <a:prstGeom prst="roundRect">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100" b="1">
              <a:solidFill>
                <a:schemeClr val="bg1"/>
              </a:solidFill>
            </a:rPr>
            <a:t>TOTAL EXPENSES</a:t>
          </a:r>
        </a:p>
      </xdr:txBody>
    </xdr:sp>
    <xdr:clientData/>
  </xdr:twoCellAnchor>
  <xdr:twoCellAnchor>
    <xdr:from>
      <xdr:col>3</xdr:col>
      <xdr:colOff>38100</xdr:colOff>
      <xdr:row>0</xdr:row>
      <xdr:rowOff>91440</xdr:rowOff>
    </xdr:from>
    <xdr:to>
      <xdr:col>19</xdr:col>
      <xdr:colOff>99060</xdr:colOff>
      <xdr:row>5</xdr:row>
      <xdr:rowOff>48240</xdr:rowOff>
    </xdr:to>
    <xdr:sp macro="" textlink="">
      <xdr:nvSpPr>
        <xdr:cNvPr id="5" name="Rectangle: Rounded Corners 4">
          <a:extLst>
            <a:ext uri="{FF2B5EF4-FFF2-40B4-BE49-F238E27FC236}">
              <a16:creationId xmlns:a16="http://schemas.microsoft.com/office/drawing/2014/main" id="{BE1E161C-F234-440B-9640-CAF88A4BDEA5}"/>
            </a:ext>
          </a:extLst>
        </xdr:cNvPr>
        <xdr:cNvSpPr/>
      </xdr:nvSpPr>
      <xdr:spPr>
        <a:xfrm>
          <a:off x="1866900" y="91440"/>
          <a:ext cx="9814560" cy="871200"/>
        </a:xfrm>
        <a:prstGeom prst="roundRect">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3600" b="1">
              <a:solidFill>
                <a:schemeClr val="bg1"/>
              </a:solidFill>
            </a:rPr>
            <a:t>FINANCIAL DASHBOARD</a:t>
          </a:r>
        </a:p>
      </xdr:txBody>
    </xdr:sp>
    <xdr:clientData/>
  </xdr:twoCellAnchor>
  <xdr:twoCellAnchor>
    <xdr:from>
      <xdr:col>11</xdr:col>
      <xdr:colOff>121920</xdr:colOff>
      <xdr:row>6</xdr:row>
      <xdr:rowOff>38100</xdr:rowOff>
    </xdr:from>
    <xdr:to>
      <xdr:col>14</xdr:col>
      <xdr:colOff>563880</xdr:colOff>
      <xdr:row>10</xdr:row>
      <xdr:rowOff>177780</xdr:rowOff>
    </xdr:to>
    <xdr:sp macro="" textlink="">
      <xdr:nvSpPr>
        <xdr:cNvPr id="6" name="Rectangle: Rounded Corners 5">
          <a:extLst>
            <a:ext uri="{FF2B5EF4-FFF2-40B4-BE49-F238E27FC236}">
              <a16:creationId xmlns:a16="http://schemas.microsoft.com/office/drawing/2014/main" id="{B8BFA799-C7CA-4CC3-A4E3-B5C3E40A0731}"/>
            </a:ext>
          </a:extLst>
        </xdr:cNvPr>
        <xdr:cNvSpPr/>
      </xdr:nvSpPr>
      <xdr:spPr>
        <a:xfrm>
          <a:off x="6827520" y="1135380"/>
          <a:ext cx="2270760" cy="871200"/>
        </a:xfrm>
        <a:prstGeom prst="roundRect">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100" b="1">
              <a:solidFill>
                <a:schemeClr val="bg1"/>
              </a:solidFill>
            </a:rPr>
            <a:t>TOTAL PROFIT</a:t>
          </a:r>
        </a:p>
      </xdr:txBody>
    </xdr:sp>
    <xdr:clientData/>
  </xdr:twoCellAnchor>
  <xdr:twoCellAnchor>
    <xdr:from>
      <xdr:col>15</xdr:col>
      <xdr:colOff>160020</xdr:colOff>
      <xdr:row>6</xdr:row>
      <xdr:rowOff>38100</xdr:rowOff>
    </xdr:from>
    <xdr:to>
      <xdr:col>18</xdr:col>
      <xdr:colOff>602820</xdr:colOff>
      <xdr:row>10</xdr:row>
      <xdr:rowOff>177780</xdr:rowOff>
    </xdr:to>
    <xdr:sp macro="" textlink="">
      <xdr:nvSpPr>
        <xdr:cNvPr id="7" name="Rectangle: Rounded Corners 6">
          <a:extLst>
            <a:ext uri="{FF2B5EF4-FFF2-40B4-BE49-F238E27FC236}">
              <a16:creationId xmlns:a16="http://schemas.microsoft.com/office/drawing/2014/main" id="{90C904AE-59AA-4229-BB67-885B21AB40B9}"/>
            </a:ext>
          </a:extLst>
        </xdr:cNvPr>
        <xdr:cNvSpPr/>
      </xdr:nvSpPr>
      <xdr:spPr>
        <a:xfrm>
          <a:off x="9304020" y="1135380"/>
          <a:ext cx="2271600" cy="871200"/>
        </a:xfrm>
        <a:prstGeom prst="roundRect">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100" b="1">
              <a:solidFill>
                <a:schemeClr val="bg1"/>
              </a:solidFill>
            </a:rPr>
            <a:t>PROFIT</a:t>
          </a:r>
          <a:r>
            <a:rPr lang="en-IN" sz="1100" b="1" baseline="0">
              <a:solidFill>
                <a:schemeClr val="bg1"/>
              </a:solidFill>
            </a:rPr>
            <a:t> MARGIN</a:t>
          </a:r>
          <a:endParaRPr lang="en-IN" sz="1100" b="1">
            <a:solidFill>
              <a:schemeClr val="bg1"/>
            </a:solidFill>
          </a:endParaRPr>
        </a:p>
      </xdr:txBody>
    </xdr:sp>
    <xdr:clientData/>
  </xdr:twoCellAnchor>
  <xdr:twoCellAnchor>
    <xdr:from>
      <xdr:col>0</xdr:col>
      <xdr:colOff>160020</xdr:colOff>
      <xdr:row>0</xdr:row>
      <xdr:rowOff>144780</xdr:rowOff>
    </xdr:from>
    <xdr:to>
      <xdr:col>2</xdr:col>
      <xdr:colOff>502920</xdr:colOff>
      <xdr:row>38</xdr:row>
      <xdr:rowOff>53340</xdr:rowOff>
    </xdr:to>
    <xdr:sp macro="" textlink="">
      <xdr:nvSpPr>
        <xdr:cNvPr id="8" name="Rectangle: Rounded Corners 7">
          <a:extLst>
            <a:ext uri="{FF2B5EF4-FFF2-40B4-BE49-F238E27FC236}">
              <a16:creationId xmlns:a16="http://schemas.microsoft.com/office/drawing/2014/main" id="{1882974E-E070-421C-A896-C63A04E6334E}"/>
            </a:ext>
          </a:extLst>
        </xdr:cNvPr>
        <xdr:cNvSpPr/>
      </xdr:nvSpPr>
      <xdr:spPr>
        <a:xfrm>
          <a:off x="160020" y="144780"/>
          <a:ext cx="1562100" cy="6858000"/>
        </a:xfrm>
        <a:prstGeom prst="roundRect">
          <a:avLst>
            <a:gd name="adj" fmla="val 7886"/>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594360</xdr:colOff>
      <xdr:row>4</xdr:row>
      <xdr:rowOff>30480</xdr:rowOff>
    </xdr:from>
    <xdr:to>
      <xdr:col>22</xdr:col>
      <xdr:colOff>601980</xdr:colOff>
      <xdr:row>8</xdr:row>
      <xdr:rowOff>170160</xdr:rowOff>
    </xdr:to>
    <xdr:sp macro="" textlink="">
      <xdr:nvSpPr>
        <xdr:cNvPr id="9" name="Rectangle: Rounded Corners 8">
          <a:extLst>
            <a:ext uri="{FF2B5EF4-FFF2-40B4-BE49-F238E27FC236}">
              <a16:creationId xmlns:a16="http://schemas.microsoft.com/office/drawing/2014/main" id="{15FC72AD-7CF4-488F-A29A-DAD5C5679BBF}"/>
            </a:ext>
          </a:extLst>
        </xdr:cNvPr>
        <xdr:cNvSpPr/>
      </xdr:nvSpPr>
      <xdr:spPr>
        <a:xfrm>
          <a:off x="12176760" y="762000"/>
          <a:ext cx="1836420" cy="871200"/>
        </a:xfrm>
        <a:prstGeom prst="roundRect">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7620</xdr:colOff>
      <xdr:row>11</xdr:row>
      <xdr:rowOff>68580</xdr:rowOff>
    </xdr:from>
    <xdr:to>
      <xdr:col>11</xdr:col>
      <xdr:colOff>76200</xdr:colOff>
      <xdr:row>23</xdr:row>
      <xdr:rowOff>83820</xdr:rowOff>
    </xdr:to>
    <xdr:sp macro="" textlink="">
      <xdr:nvSpPr>
        <xdr:cNvPr id="10" name="Rectangle: Rounded Corners 9">
          <a:extLst>
            <a:ext uri="{FF2B5EF4-FFF2-40B4-BE49-F238E27FC236}">
              <a16:creationId xmlns:a16="http://schemas.microsoft.com/office/drawing/2014/main" id="{8D8DFE39-6306-468D-A3B0-708148AAB9C6}"/>
            </a:ext>
          </a:extLst>
        </xdr:cNvPr>
        <xdr:cNvSpPr/>
      </xdr:nvSpPr>
      <xdr:spPr>
        <a:xfrm>
          <a:off x="1836420" y="2080260"/>
          <a:ext cx="4945380" cy="2209800"/>
        </a:xfrm>
        <a:prstGeom prst="roundRect">
          <a:avLst>
            <a:gd name="adj" fmla="val 6322"/>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220980</xdr:colOff>
      <xdr:row>11</xdr:row>
      <xdr:rowOff>83820</xdr:rowOff>
    </xdr:from>
    <xdr:to>
      <xdr:col>19</xdr:col>
      <xdr:colOff>38100</xdr:colOff>
      <xdr:row>23</xdr:row>
      <xdr:rowOff>99060</xdr:rowOff>
    </xdr:to>
    <xdr:sp macro="" textlink="">
      <xdr:nvSpPr>
        <xdr:cNvPr id="11" name="Rectangle: Rounded Corners 10">
          <a:extLst>
            <a:ext uri="{FF2B5EF4-FFF2-40B4-BE49-F238E27FC236}">
              <a16:creationId xmlns:a16="http://schemas.microsoft.com/office/drawing/2014/main" id="{824E46C8-2CDB-4A2B-8CBB-47DBDF19759F}"/>
            </a:ext>
          </a:extLst>
        </xdr:cNvPr>
        <xdr:cNvSpPr/>
      </xdr:nvSpPr>
      <xdr:spPr>
        <a:xfrm>
          <a:off x="6926580" y="2095500"/>
          <a:ext cx="4693920" cy="2209800"/>
        </a:xfrm>
        <a:prstGeom prst="roundRect">
          <a:avLst>
            <a:gd name="adj" fmla="val 4943"/>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15240</xdr:colOff>
      <xdr:row>23</xdr:row>
      <xdr:rowOff>167640</xdr:rowOff>
    </xdr:from>
    <xdr:to>
      <xdr:col>11</xdr:col>
      <xdr:colOff>83820</xdr:colOff>
      <xdr:row>38</xdr:row>
      <xdr:rowOff>0</xdr:rowOff>
    </xdr:to>
    <xdr:sp macro="" textlink="">
      <xdr:nvSpPr>
        <xdr:cNvPr id="12" name="Rectangle: Rounded Corners 11">
          <a:extLst>
            <a:ext uri="{FF2B5EF4-FFF2-40B4-BE49-F238E27FC236}">
              <a16:creationId xmlns:a16="http://schemas.microsoft.com/office/drawing/2014/main" id="{9FFB33BA-9072-4EAE-A095-8E95EA6AC61A}"/>
            </a:ext>
          </a:extLst>
        </xdr:cNvPr>
        <xdr:cNvSpPr/>
      </xdr:nvSpPr>
      <xdr:spPr>
        <a:xfrm>
          <a:off x="1844040" y="4373880"/>
          <a:ext cx="4945380" cy="2575560"/>
        </a:xfrm>
        <a:prstGeom prst="roundRect">
          <a:avLst>
            <a:gd name="adj" fmla="val 7495"/>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228600</xdr:colOff>
      <xdr:row>24</xdr:row>
      <xdr:rowOff>0</xdr:rowOff>
    </xdr:from>
    <xdr:to>
      <xdr:col>19</xdr:col>
      <xdr:colOff>45720</xdr:colOff>
      <xdr:row>38</xdr:row>
      <xdr:rowOff>15240</xdr:rowOff>
    </xdr:to>
    <xdr:sp macro="" textlink="">
      <xdr:nvSpPr>
        <xdr:cNvPr id="13" name="Rectangle: Rounded Corners 12">
          <a:extLst>
            <a:ext uri="{FF2B5EF4-FFF2-40B4-BE49-F238E27FC236}">
              <a16:creationId xmlns:a16="http://schemas.microsoft.com/office/drawing/2014/main" id="{6B667A1E-2F23-4E63-B8BB-AB149CF3AE17}"/>
            </a:ext>
          </a:extLst>
        </xdr:cNvPr>
        <xdr:cNvSpPr/>
      </xdr:nvSpPr>
      <xdr:spPr>
        <a:xfrm>
          <a:off x="6934200" y="4389120"/>
          <a:ext cx="4693920" cy="2575560"/>
        </a:xfrm>
        <a:prstGeom prst="roundRect">
          <a:avLst>
            <a:gd name="adj" fmla="val 6016"/>
          </a:avLst>
        </a:prstGeom>
        <a:solidFill>
          <a:srgbClr val="144D3D"/>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83820</xdr:colOff>
      <xdr:row>7</xdr:row>
      <xdr:rowOff>167640</xdr:rowOff>
    </xdr:from>
    <xdr:to>
      <xdr:col>6</xdr:col>
      <xdr:colOff>350520</xdr:colOff>
      <xdr:row>10</xdr:row>
      <xdr:rowOff>22860</xdr:rowOff>
    </xdr:to>
    <xdr:sp macro="" textlink="'Pivot Tables'!A13">
      <xdr:nvSpPr>
        <xdr:cNvPr id="14" name="TextBox 13">
          <a:extLst>
            <a:ext uri="{FF2B5EF4-FFF2-40B4-BE49-F238E27FC236}">
              <a16:creationId xmlns:a16="http://schemas.microsoft.com/office/drawing/2014/main" id="{7EEB6FC7-F9D8-3EB0-F5C0-E2375EED2401}"/>
            </a:ext>
          </a:extLst>
        </xdr:cNvPr>
        <xdr:cNvSpPr txBox="1"/>
      </xdr:nvSpPr>
      <xdr:spPr>
        <a:xfrm>
          <a:off x="2522220" y="1447800"/>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C218716-CEC4-4A08-840B-A99BF6FD1D15}" type="TxLink">
            <a:rPr lang="en-US" sz="2000" b="1" i="0" u="none" strike="noStrike">
              <a:solidFill>
                <a:srgbClr val="000000"/>
              </a:solidFill>
              <a:latin typeface="Calibri"/>
              <a:ea typeface="Calibri"/>
              <a:cs typeface="Calibri"/>
            </a:rPr>
            <a:pPr algn="r"/>
            <a:t>₹ 42,37,000</a:t>
          </a:fld>
          <a:endParaRPr lang="en-IN" sz="2000" b="1"/>
        </a:p>
      </xdr:txBody>
    </xdr:sp>
    <xdr:clientData/>
  </xdr:twoCellAnchor>
  <xdr:twoCellAnchor>
    <xdr:from>
      <xdr:col>8</xdr:col>
      <xdr:colOff>152400</xdr:colOff>
      <xdr:row>7</xdr:row>
      <xdr:rowOff>160020</xdr:rowOff>
    </xdr:from>
    <xdr:to>
      <xdr:col>10</xdr:col>
      <xdr:colOff>441960</xdr:colOff>
      <xdr:row>10</xdr:row>
      <xdr:rowOff>22860</xdr:rowOff>
    </xdr:to>
    <xdr:sp macro="" textlink="'Pivot Tables'!E13">
      <xdr:nvSpPr>
        <xdr:cNvPr id="15" name="TextBox 14">
          <a:extLst>
            <a:ext uri="{FF2B5EF4-FFF2-40B4-BE49-F238E27FC236}">
              <a16:creationId xmlns:a16="http://schemas.microsoft.com/office/drawing/2014/main" id="{06C21A34-3712-204E-F254-7BA399B51E58}"/>
            </a:ext>
          </a:extLst>
        </xdr:cNvPr>
        <xdr:cNvSpPr txBox="1"/>
      </xdr:nvSpPr>
      <xdr:spPr>
        <a:xfrm>
          <a:off x="5029200" y="1440180"/>
          <a:ext cx="15087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219C49E-BF78-4CD3-98C8-F7BF0DD9B745}" type="TxLink">
            <a:rPr lang="en-US" sz="2000" b="1" i="0" u="none" strike="noStrike">
              <a:solidFill>
                <a:srgbClr val="000000"/>
              </a:solidFill>
              <a:latin typeface="Calibri"/>
              <a:ea typeface="Calibri"/>
              <a:cs typeface="Calibri"/>
            </a:rPr>
            <a:pPr algn="r"/>
            <a:t>₹ 26,73,000</a:t>
          </a:fld>
          <a:endParaRPr lang="en-IN" sz="2000" b="1"/>
        </a:p>
      </xdr:txBody>
    </xdr:sp>
    <xdr:clientData/>
  </xdr:twoCellAnchor>
  <xdr:twoCellAnchor>
    <xdr:from>
      <xdr:col>12</xdr:col>
      <xdr:colOff>152400</xdr:colOff>
      <xdr:row>7</xdr:row>
      <xdr:rowOff>121920</xdr:rowOff>
    </xdr:from>
    <xdr:to>
      <xdr:col>14</xdr:col>
      <xdr:colOff>480060</xdr:colOff>
      <xdr:row>9</xdr:row>
      <xdr:rowOff>175260</xdr:rowOff>
    </xdr:to>
    <xdr:sp macro="" textlink="">
      <xdr:nvSpPr>
        <xdr:cNvPr id="16" name="TextBox 15">
          <a:extLst>
            <a:ext uri="{FF2B5EF4-FFF2-40B4-BE49-F238E27FC236}">
              <a16:creationId xmlns:a16="http://schemas.microsoft.com/office/drawing/2014/main" id="{EBE6DB08-6040-AE57-F13C-16D2D8C51AB0}"/>
            </a:ext>
          </a:extLst>
        </xdr:cNvPr>
        <xdr:cNvSpPr txBox="1"/>
      </xdr:nvSpPr>
      <xdr:spPr>
        <a:xfrm>
          <a:off x="7467600" y="1402080"/>
          <a:ext cx="15468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a:t>₹ 15,64,000</a:t>
          </a:r>
        </a:p>
      </xdr:txBody>
    </xdr:sp>
    <xdr:clientData/>
  </xdr:twoCellAnchor>
  <xdr:twoCellAnchor>
    <xdr:from>
      <xdr:col>16</xdr:col>
      <xdr:colOff>190500</xdr:colOff>
      <xdr:row>7</xdr:row>
      <xdr:rowOff>114300</xdr:rowOff>
    </xdr:from>
    <xdr:to>
      <xdr:col>18</xdr:col>
      <xdr:colOff>411480</xdr:colOff>
      <xdr:row>10</xdr:row>
      <xdr:rowOff>15240</xdr:rowOff>
    </xdr:to>
    <xdr:sp macro="" textlink="'Pivot Tables'!J15">
      <xdr:nvSpPr>
        <xdr:cNvPr id="17" name="TextBox 16">
          <a:extLst>
            <a:ext uri="{FF2B5EF4-FFF2-40B4-BE49-F238E27FC236}">
              <a16:creationId xmlns:a16="http://schemas.microsoft.com/office/drawing/2014/main" id="{C8B5AD7F-B5F4-ED98-E36C-5F4937B23BE5}"/>
            </a:ext>
          </a:extLst>
        </xdr:cNvPr>
        <xdr:cNvSpPr txBox="1"/>
      </xdr:nvSpPr>
      <xdr:spPr>
        <a:xfrm>
          <a:off x="9944100" y="1394460"/>
          <a:ext cx="14401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0C39AF-F890-453F-9092-539C82AE1CDA}" type="TxLink">
            <a:rPr lang="en-US" sz="2000" b="1" i="0" u="none" strike="noStrike">
              <a:solidFill>
                <a:srgbClr val="000000"/>
              </a:solidFill>
              <a:latin typeface="Calibri"/>
              <a:ea typeface="Calibri"/>
              <a:cs typeface="Calibri"/>
            </a:rPr>
            <a:pPr algn="ctr"/>
            <a:t>36.91%</a:t>
          </a:fld>
          <a:endParaRPr lang="en-IN" sz="2000" b="1"/>
        </a:p>
      </xdr:txBody>
    </xdr:sp>
    <xdr:clientData/>
  </xdr:twoCellAnchor>
  <xdr:twoCellAnchor>
    <xdr:from>
      <xdr:col>3</xdr:col>
      <xdr:colOff>152400</xdr:colOff>
      <xdr:row>11</xdr:row>
      <xdr:rowOff>114300</xdr:rowOff>
    </xdr:from>
    <xdr:to>
      <xdr:col>10</xdr:col>
      <xdr:colOff>548640</xdr:colOff>
      <xdr:row>23</xdr:row>
      <xdr:rowOff>7620</xdr:rowOff>
    </xdr:to>
    <xdr:graphicFrame macro="">
      <xdr:nvGraphicFramePr>
        <xdr:cNvPr id="18" name="Chart 17">
          <a:extLst>
            <a:ext uri="{FF2B5EF4-FFF2-40B4-BE49-F238E27FC236}">
              <a16:creationId xmlns:a16="http://schemas.microsoft.com/office/drawing/2014/main" id="{76944028-AD0E-4269-9858-EA5E872DB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327660</xdr:colOff>
      <xdr:row>11</xdr:row>
      <xdr:rowOff>167640</xdr:rowOff>
    </xdr:from>
    <xdr:to>
      <xdr:col>18</xdr:col>
      <xdr:colOff>563880</xdr:colOff>
      <xdr:row>23</xdr:row>
      <xdr:rowOff>0</xdr:rowOff>
    </xdr:to>
    <xdr:graphicFrame macro="">
      <xdr:nvGraphicFramePr>
        <xdr:cNvPr id="19" name="Chart 18">
          <a:extLst>
            <a:ext uri="{FF2B5EF4-FFF2-40B4-BE49-F238E27FC236}">
              <a16:creationId xmlns:a16="http://schemas.microsoft.com/office/drawing/2014/main" id="{0844B3E3-B7D0-42BE-BD7A-E4A13FD81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xdr:colOff>
      <xdr:row>24</xdr:row>
      <xdr:rowOff>76200</xdr:rowOff>
    </xdr:from>
    <xdr:to>
      <xdr:col>10</xdr:col>
      <xdr:colOff>556260</xdr:colOff>
      <xdr:row>37</xdr:row>
      <xdr:rowOff>76200</xdr:rowOff>
    </xdr:to>
    <xdr:graphicFrame macro="">
      <xdr:nvGraphicFramePr>
        <xdr:cNvPr id="20" name="Chart 19">
          <a:extLst>
            <a:ext uri="{FF2B5EF4-FFF2-40B4-BE49-F238E27FC236}">
              <a16:creationId xmlns:a16="http://schemas.microsoft.com/office/drawing/2014/main" id="{670DA22D-8ADC-48B8-A398-F29145A5C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213360</xdr:colOff>
      <xdr:row>1</xdr:row>
      <xdr:rowOff>45721</xdr:rowOff>
    </xdr:from>
    <xdr:to>
      <xdr:col>2</xdr:col>
      <xdr:colOff>441960</xdr:colOff>
      <xdr:row>12</xdr:row>
      <xdr:rowOff>38101</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EE49B283-7333-360B-49C2-0F676C5014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3360" y="228601"/>
              <a:ext cx="144780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12</xdr:row>
      <xdr:rowOff>106680</xdr:rowOff>
    </xdr:from>
    <xdr:to>
      <xdr:col>2</xdr:col>
      <xdr:colOff>419100</xdr:colOff>
      <xdr:row>26</xdr:row>
      <xdr:rowOff>91440</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BF47612C-2692-7C12-D1B0-718360ABC18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120" y="2301240"/>
              <a:ext cx="1440180" cy="2545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26</xdr:row>
      <xdr:rowOff>175261</xdr:rowOff>
    </xdr:from>
    <xdr:to>
      <xdr:col>2</xdr:col>
      <xdr:colOff>449580</xdr:colOff>
      <xdr:row>35</xdr:row>
      <xdr:rowOff>1</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DE2148CA-1260-234C-E895-3EAC7696CB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740" y="4930141"/>
              <a:ext cx="14630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335280</xdr:colOff>
      <xdr:row>24</xdr:row>
      <xdr:rowOff>91440</xdr:rowOff>
    </xdr:from>
    <xdr:to>
      <xdr:col>18</xdr:col>
      <xdr:colOff>541020</xdr:colOff>
      <xdr:row>37</xdr:row>
      <xdr:rowOff>137160</xdr:rowOff>
    </xdr:to>
    <xdr:graphicFrame macro="">
      <xdr:nvGraphicFramePr>
        <xdr:cNvPr id="25" name="Chart 24">
          <a:extLst>
            <a:ext uri="{FF2B5EF4-FFF2-40B4-BE49-F238E27FC236}">
              <a16:creationId xmlns:a16="http://schemas.microsoft.com/office/drawing/2014/main" id="{9180C780-5035-476B-99D1-14BE2D951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0.389644212963" createdVersion="8" refreshedVersion="8" minRefreshableVersion="3" recordCount="40" xr:uid="{E4A567A6-8D92-4713-968C-F3EBC0C8E151}">
  <cacheSource type="worksheet">
    <worksheetSource ref="A1:K41" sheet="Raw Data"/>
  </cacheSource>
  <cacheFields count="11">
    <cacheField name="Date" numFmtId="15">
      <sharedItems containsSemiMixedTypes="0" containsNonDate="0" containsDate="1" containsString="0" minDate="2026-01-02T00:00:00" maxDate="2026-08-29T00:00:00"/>
    </cacheField>
    <cacheField name="Month" numFmtId="0">
      <sharedItems count="8">
        <s v="January"/>
        <s v="February"/>
        <s v="March"/>
        <s v="April"/>
        <s v="May"/>
        <s v="June"/>
        <s v="July"/>
        <s v="August"/>
      </sharedItems>
    </cacheField>
    <cacheField name="Department" numFmtId="0">
      <sharedItems count="6">
        <s v="Sales"/>
        <s v="Marketing"/>
        <s v="HR"/>
        <s v="Finance"/>
        <s v="IT"/>
        <s v="Operations"/>
      </sharedItems>
    </cacheField>
    <cacheField name="Region" numFmtId="0">
      <sharedItems count="4">
        <s v="North"/>
        <s v="South"/>
        <s v="East"/>
        <s v="West"/>
      </sharedItems>
    </cacheField>
    <cacheField name="Revenue" numFmtId="0">
      <sharedItems containsSemiMixedTypes="0" containsString="0" containsNumber="1" containsInteger="1" minValue="70000" maxValue="155000"/>
    </cacheField>
    <cacheField name="Expenses" numFmtId="0">
      <sharedItems containsSemiMixedTypes="0" containsString="0" containsNumber="1" containsInteger="1" minValue="45000" maxValue="91000"/>
    </cacheField>
    <cacheField name="Budget" numFmtId="0">
      <sharedItems containsSemiMixedTypes="0" containsString="0" containsNumber="1" containsInteger="1" minValue="50000" maxValue="95000"/>
    </cacheField>
    <cacheField name="Vendor" numFmtId="0">
      <sharedItems count="6">
        <s v="ABC Pvt Ltd"/>
        <s v="Bright Ads"/>
        <s v="HR Solutions"/>
        <s v="FinCorp"/>
        <s v="Tech World"/>
        <s v="Logistics Hub"/>
      </sharedItems>
    </cacheField>
    <cacheField name="Expense Category" numFmtId="0">
      <sharedItems count="7">
        <s v="Salaries"/>
        <s v="Marketing"/>
        <s v="Office Supplies"/>
        <s v="Software"/>
        <s v="Travel"/>
        <s v="Training"/>
        <s v="Utilities"/>
      </sharedItems>
    </cacheField>
    <cacheField name="Profit" numFmtId="0">
      <sharedItems containsSemiMixedTypes="0" containsString="0" containsNumber="1" containsInteger="1" minValue="25000" maxValue="64000"/>
    </cacheField>
    <cacheField name="Profit Margin" numFmtId="10">
      <sharedItems containsSemiMixedTypes="0" containsString="0" containsNumber="1" minValue="0.2857142857142857" maxValue="0.41290322580645161"/>
    </cacheField>
  </cacheFields>
  <extLst>
    <ext xmlns:x14="http://schemas.microsoft.com/office/spreadsheetml/2009/9/main" uri="{725AE2AE-9491-48be-B2B4-4EB974FC3084}">
      <x14:pivotCacheDefinition pivotCacheId="62583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d v="2026-01-02T00:00:00"/>
    <x v="0"/>
    <x v="0"/>
    <x v="0"/>
    <n v="120000"/>
    <n v="75000"/>
    <n v="80000"/>
    <x v="0"/>
    <x v="0"/>
    <n v="45000"/>
    <n v="0.375"/>
  </r>
  <r>
    <d v="2026-01-05T00:00:00"/>
    <x v="0"/>
    <x v="1"/>
    <x v="1"/>
    <n v="95000"/>
    <n v="60000"/>
    <n v="65000"/>
    <x v="1"/>
    <x v="1"/>
    <n v="35000"/>
    <n v="0.36842105263157893"/>
  </r>
  <r>
    <d v="2026-01-08T00:00:00"/>
    <x v="0"/>
    <x v="2"/>
    <x v="2"/>
    <n v="70000"/>
    <n v="45000"/>
    <n v="50000"/>
    <x v="2"/>
    <x v="0"/>
    <n v="25000"/>
    <n v="0.35714285714285715"/>
  </r>
  <r>
    <d v="2026-01-12T00:00:00"/>
    <x v="0"/>
    <x v="3"/>
    <x v="3"/>
    <n v="85000"/>
    <n v="50000"/>
    <n v="55000"/>
    <x v="3"/>
    <x v="2"/>
    <n v="35000"/>
    <n v="0.41176470588235292"/>
  </r>
  <r>
    <d v="2026-01-18T00:00:00"/>
    <x v="0"/>
    <x v="4"/>
    <x v="0"/>
    <n v="105000"/>
    <n v="65000"/>
    <n v="70000"/>
    <x v="4"/>
    <x v="3"/>
    <n v="40000"/>
    <n v="0.38095238095238093"/>
  </r>
  <r>
    <d v="2026-01-25T00:00:00"/>
    <x v="0"/>
    <x v="5"/>
    <x v="1"/>
    <n v="98000"/>
    <n v="70000"/>
    <n v="72000"/>
    <x v="5"/>
    <x v="4"/>
    <n v="28000"/>
    <n v="0.2857142857142857"/>
  </r>
  <r>
    <d v="2026-02-04T00:00:00"/>
    <x v="1"/>
    <x v="0"/>
    <x v="2"/>
    <n v="130000"/>
    <n v="78000"/>
    <n v="82000"/>
    <x v="0"/>
    <x v="0"/>
    <n v="52000"/>
    <n v="0.4"/>
  </r>
  <r>
    <d v="2026-02-09T00:00:00"/>
    <x v="1"/>
    <x v="1"/>
    <x v="3"/>
    <n v="99000"/>
    <n v="63000"/>
    <n v="68000"/>
    <x v="1"/>
    <x v="1"/>
    <n v="36000"/>
    <n v="0.36363636363636365"/>
  </r>
  <r>
    <d v="2026-02-14T00:00:00"/>
    <x v="1"/>
    <x v="2"/>
    <x v="0"/>
    <n v="72000"/>
    <n v="47000"/>
    <n v="51000"/>
    <x v="2"/>
    <x v="5"/>
    <n v="25000"/>
    <n v="0.34722222222222221"/>
  </r>
  <r>
    <d v="2026-02-20T00:00:00"/>
    <x v="1"/>
    <x v="3"/>
    <x v="1"/>
    <n v="87000"/>
    <n v="52000"/>
    <n v="56000"/>
    <x v="3"/>
    <x v="2"/>
    <n v="35000"/>
    <n v="0.40229885057471265"/>
  </r>
  <r>
    <d v="2026-02-27T00:00:00"/>
    <x v="1"/>
    <x v="4"/>
    <x v="2"/>
    <n v="108000"/>
    <n v="67000"/>
    <n v="72000"/>
    <x v="4"/>
    <x v="3"/>
    <n v="41000"/>
    <n v="0.37962962962962965"/>
  </r>
  <r>
    <d v="2026-03-03T00:00:00"/>
    <x v="2"/>
    <x v="5"/>
    <x v="3"/>
    <n v="101000"/>
    <n v="71000"/>
    <n v="73000"/>
    <x v="5"/>
    <x v="6"/>
    <n v="30000"/>
    <n v="0.29702970297029702"/>
  </r>
  <r>
    <d v="2026-03-09T00:00:00"/>
    <x v="2"/>
    <x v="0"/>
    <x v="0"/>
    <n v="135000"/>
    <n v="81000"/>
    <n v="85000"/>
    <x v="0"/>
    <x v="0"/>
    <n v="54000"/>
    <n v="0.4"/>
  </r>
  <r>
    <d v="2026-03-14T00:00:00"/>
    <x v="2"/>
    <x v="1"/>
    <x v="1"/>
    <n v="103000"/>
    <n v="65000"/>
    <n v="69000"/>
    <x v="1"/>
    <x v="1"/>
    <n v="38000"/>
    <n v="0.36893203883495146"/>
  </r>
  <r>
    <d v="2026-03-18T00:00:00"/>
    <x v="2"/>
    <x v="2"/>
    <x v="2"/>
    <n v="74000"/>
    <n v="48000"/>
    <n v="52000"/>
    <x v="2"/>
    <x v="5"/>
    <n v="26000"/>
    <n v="0.35135135135135137"/>
  </r>
  <r>
    <d v="2026-03-26T00:00:00"/>
    <x v="2"/>
    <x v="3"/>
    <x v="3"/>
    <n v="89000"/>
    <n v="54000"/>
    <n v="57000"/>
    <x v="3"/>
    <x v="2"/>
    <n v="35000"/>
    <n v="0.39325842696629215"/>
  </r>
  <r>
    <d v="2026-04-03T00:00:00"/>
    <x v="3"/>
    <x v="4"/>
    <x v="0"/>
    <n v="112000"/>
    <n v="69000"/>
    <n v="74000"/>
    <x v="4"/>
    <x v="3"/>
    <n v="43000"/>
    <n v="0.38392857142857145"/>
  </r>
  <r>
    <d v="2026-04-10T00:00:00"/>
    <x v="3"/>
    <x v="5"/>
    <x v="1"/>
    <n v="104000"/>
    <n v="73000"/>
    <n v="75000"/>
    <x v="5"/>
    <x v="4"/>
    <n v="31000"/>
    <n v="0.29807692307692307"/>
  </r>
  <r>
    <d v="2026-04-16T00:00:00"/>
    <x v="3"/>
    <x v="0"/>
    <x v="2"/>
    <n v="140000"/>
    <n v="84000"/>
    <n v="87000"/>
    <x v="0"/>
    <x v="0"/>
    <n v="56000"/>
    <n v="0.4"/>
  </r>
  <r>
    <d v="2026-04-24T00:00:00"/>
    <x v="3"/>
    <x v="1"/>
    <x v="3"/>
    <n v="106000"/>
    <n v="67000"/>
    <n v="71000"/>
    <x v="1"/>
    <x v="1"/>
    <n v="39000"/>
    <n v="0.36792452830188677"/>
  </r>
  <r>
    <d v="2026-05-02T00:00:00"/>
    <x v="4"/>
    <x v="2"/>
    <x v="0"/>
    <n v="76000"/>
    <n v="50000"/>
    <n v="53000"/>
    <x v="2"/>
    <x v="5"/>
    <n v="26000"/>
    <n v="0.34210526315789475"/>
  </r>
  <r>
    <d v="2026-05-09T00:00:00"/>
    <x v="4"/>
    <x v="3"/>
    <x v="1"/>
    <n v="91000"/>
    <n v="56000"/>
    <n v="59000"/>
    <x v="3"/>
    <x v="6"/>
    <n v="35000"/>
    <n v="0.38461538461538464"/>
  </r>
  <r>
    <d v="2026-05-15T00:00:00"/>
    <x v="4"/>
    <x v="4"/>
    <x v="2"/>
    <n v="115000"/>
    <n v="71000"/>
    <n v="76000"/>
    <x v="4"/>
    <x v="3"/>
    <n v="44000"/>
    <n v="0.38260869565217392"/>
  </r>
  <r>
    <d v="2026-05-22T00:00:00"/>
    <x v="4"/>
    <x v="5"/>
    <x v="3"/>
    <n v="107000"/>
    <n v="75000"/>
    <n v="77000"/>
    <x v="5"/>
    <x v="4"/>
    <n v="32000"/>
    <n v="0.29906542056074764"/>
  </r>
  <r>
    <d v="2026-05-29T00:00:00"/>
    <x v="4"/>
    <x v="0"/>
    <x v="0"/>
    <n v="145000"/>
    <n v="86000"/>
    <n v="90000"/>
    <x v="0"/>
    <x v="0"/>
    <n v="59000"/>
    <n v="0.40689655172413791"/>
  </r>
  <r>
    <d v="2026-06-05T00:00:00"/>
    <x v="5"/>
    <x v="1"/>
    <x v="1"/>
    <n v="109000"/>
    <n v="69000"/>
    <n v="73000"/>
    <x v="1"/>
    <x v="1"/>
    <n v="40000"/>
    <n v="0.3669724770642202"/>
  </r>
  <r>
    <d v="2026-06-11T00:00:00"/>
    <x v="5"/>
    <x v="2"/>
    <x v="2"/>
    <n v="78000"/>
    <n v="51000"/>
    <n v="54000"/>
    <x v="2"/>
    <x v="5"/>
    <n v="27000"/>
    <n v="0.34615384615384615"/>
  </r>
  <r>
    <d v="2026-06-18T00:00:00"/>
    <x v="5"/>
    <x v="3"/>
    <x v="3"/>
    <n v="93000"/>
    <n v="57000"/>
    <n v="60000"/>
    <x v="3"/>
    <x v="2"/>
    <n v="36000"/>
    <n v="0.38709677419354838"/>
  </r>
  <r>
    <d v="2026-06-24T00:00:00"/>
    <x v="5"/>
    <x v="4"/>
    <x v="0"/>
    <n v="118000"/>
    <n v="73000"/>
    <n v="78000"/>
    <x v="4"/>
    <x v="3"/>
    <n v="45000"/>
    <n v="0.38135593220338981"/>
  </r>
  <r>
    <d v="2026-06-30T00:00:00"/>
    <x v="5"/>
    <x v="5"/>
    <x v="1"/>
    <n v="110000"/>
    <n v="76000"/>
    <n v="79000"/>
    <x v="5"/>
    <x v="6"/>
    <n v="34000"/>
    <n v="0.30909090909090908"/>
  </r>
  <r>
    <d v="2026-07-06T00:00:00"/>
    <x v="6"/>
    <x v="0"/>
    <x v="2"/>
    <n v="150000"/>
    <n v="89000"/>
    <n v="92000"/>
    <x v="0"/>
    <x v="0"/>
    <n v="61000"/>
    <n v="0.40666666666666668"/>
  </r>
  <r>
    <d v="2026-07-12T00:00:00"/>
    <x v="6"/>
    <x v="1"/>
    <x v="3"/>
    <n v="112000"/>
    <n v="71000"/>
    <n v="74000"/>
    <x v="1"/>
    <x v="1"/>
    <n v="41000"/>
    <n v="0.36607142857142855"/>
  </r>
  <r>
    <d v="2026-07-17T00:00:00"/>
    <x v="6"/>
    <x v="2"/>
    <x v="0"/>
    <n v="80000"/>
    <n v="53000"/>
    <n v="56000"/>
    <x v="2"/>
    <x v="5"/>
    <n v="27000"/>
    <n v="0.33750000000000002"/>
  </r>
  <r>
    <d v="2026-07-23T00:00:00"/>
    <x v="6"/>
    <x v="3"/>
    <x v="1"/>
    <n v="95000"/>
    <n v="59000"/>
    <n v="62000"/>
    <x v="3"/>
    <x v="2"/>
    <n v="36000"/>
    <n v="0.37894736842105264"/>
  </r>
  <r>
    <d v="2026-07-29T00:00:00"/>
    <x v="6"/>
    <x v="4"/>
    <x v="2"/>
    <n v="121000"/>
    <n v="75000"/>
    <n v="80000"/>
    <x v="4"/>
    <x v="3"/>
    <n v="46000"/>
    <n v="0.38016528925619836"/>
  </r>
  <r>
    <d v="2026-08-04T00:00:00"/>
    <x v="7"/>
    <x v="5"/>
    <x v="3"/>
    <n v="113000"/>
    <n v="78000"/>
    <n v="81000"/>
    <x v="5"/>
    <x v="4"/>
    <n v="35000"/>
    <n v="0.30973451327433627"/>
  </r>
  <r>
    <d v="2026-08-10T00:00:00"/>
    <x v="7"/>
    <x v="0"/>
    <x v="0"/>
    <n v="155000"/>
    <n v="91000"/>
    <n v="95000"/>
    <x v="0"/>
    <x v="0"/>
    <n v="64000"/>
    <n v="0.41290322580645161"/>
  </r>
  <r>
    <d v="2026-08-16T00:00:00"/>
    <x v="7"/>
    <x v="1"/>
    <x v="1"/>
    <n v="115000"/>
    <n v="72000"/>
    <n v="75000"/>
    <x v="1"/>
    <x v="1"/>
    <n v="43000"/>
    <n v="0.37391304347826088"/>
  </r>
  <r>
    <d v="2026-08-22T00:00:00"/>
    <x v="7"/>
    <x v="3"/>
    <x v="2"/>
    <n v="97000"/>
    <n v="60000"/>
    <n v="63000"/>
    <x v="3"/>
    <x v="6"/>
    <n v="37000"/>
    <n v="0.38144329896907214"/>
  </r>
  <r>
    <d v="2026-08-28T00:00:00"/>
    <x v="7"/>
    <x v="4"/>
    <x v="3"/>
    <n v="124000"/>
    <n v="77000"/>
    <n v="82000"/>
    <x v="4"/>
    <x v="3"/>
    <n v="47000"/>
    <n v="0.379032258064516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36129-E5E6-42F0-8955-96CA2252003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1">
    <pivotField numFmtId="15" showAll="0"/>
    <pivotField axis="axisRow" showAll="0">
      <items count="9">
        <item x="0"/>
        <item x="1"/>
        <item x="2"/>
        <item x="3"/>
        <item x="4"/>
        <item x="5"/>
        <item x="6"/>
        <item x="7"/>
        <item t="default"/>
      </items>
    </pivotField>
    <pivotField showAll="0">
      <items count="7">
        <item x="3"/>
        <item x="2"/>
        <item x="4"/>
        <item x="1"/>
        <item x="5"/>
        <item x="0"/>
        <item t="default"/>
      </items>
    </pivotField>
    <pivotField showAll="0">
      <items count="5">
        <item x="2"/>
        <item x="0"/>
        <item x="1"/>
        <item x="3"/>
        <item t="default"/>
      </items>
    </pivotField>
    <pivotField dataField="1" showAll="0"/>
    <pivotField showAll="0"/>
    <pivotField showAll="0"/>
    <pivotField showAll="0"/>
    <pivotField showAll="0"/>
    <pivotField showAll="0"/>
    <pivotField numFmtId="10" showAll="0"/>
  </pivotFields>
  <rowFields count="1">
    <field x="1"/>
  </rowFields>
  <rowItems count="9">
    <i>
      <x/>
    </i>
    <i>
      <x v="1"/>
    </i>
    <i>
      <x v="2"/>
    </i>
    <i>
      <x v="3"/>
    </i>
    <i>
      <x v="4"/>
    </i>
    <i>
      <x v="5"/>
    </i>
    <i>
      <x v="6"/>
    </i>
    <i>
      <x v="7"/>
    </i>
    <i t="grand">
      <x/>
    </i>
  </rowItems>
  <colItems count="1">
    <i/>
  </colItems>
  <dataFields count="1">
    <dataField name="Sum of Revenue" fld="4"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0EE9F-F66A-4D5B-870D-83C0E9B3821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3" firstHeaderRow="1" firstDataRow="1" firstDataCol="1"/>
  <pivotFields count="11">
    <pivotField numFmtId="15" showAll="0"/>
    <pivotField showAll="0"/>
    <pivotField showAll="0"/>
    <pivotField showAll="0"/>
    <pivotField showAll="0"/>
    <pivotField dataField="1" showAll="0"/>
    <pivotField showAll="0"/>
    <pivotField axis="axisRow" showAll="0">
      <items count="7">
        <item x="0"/>
        <item x="1"/>
        <item x="3"/>
        <item x="2"/>
        <item x="5"/>
        <item x="4"/>
        <item t="default"/>
      </items>
    </pivotField>
    <pivotField showAll="0"/>
    <pivotField showAll="0"/>
    <pivotField numFmtId="10" showAll="0"/>
  </pivotFields>
  <rowFields count="1">
    <field x="7"/>
  </rowFields>
  <rowItems count="7">
    <i>
      <x/>
    </i>
    <i>
      <x v="1"/>
    </i>
    <i>
      <x v="2"/>
    </i>
    <i>
      <x v="3"/>
    </i>
    <i>
      <x v="4"/>
    </i>
    <i>
      <x v="5"/>
    </i>
    <i t="grand">
      <x/>
    </i>
  </rowItems>
  <colItems count="1">
    <i/>
  </colItems>
  <dataFields count="1">
    <dataField name="Sum of Expens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B55317-80B1-4A43-B446-21BB48B3263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1" firstHeaderRow="1" firstDataRow="1" firstDataCol="1"/>
  <pivotFields count="11">
    <pivotField numFmtId="15" showAll="0"/>
    <pivotField showAll="0"/>
    <pivotField showAll="0"/>
    <pivotField showAll="0"/>
    <pivotField showAll="0"/>
    <pivotField dataField="1" showAll="0"/>
    <pivotField showAll="0"/>
    <pivotField showAll="0"/>
    <pivotField axis="axisRow" showAll="0">
      <items count="8">
        <item x="1"/>
        <item x="2"/>
        <item x="0"/>
        <item x="3"/>
        <item x="5"/>
        <item x="4"/>
        <item x="6"/>
        <item t="default"/>
      </items>
    </pivotField>
    <pivotField showAll="0"/>
    <pivotField numFmtId="10" showAll="0"/>
  </pivotFields>
  <rowFields count="1">
    <field x="8"/>
  </rowFields>
  <rowItems count="8">
    <i>
      <x/>
    </i>
    <i>
      <x v="1"/>
    </i>
    <i>
      <x v="2"/>
    </i>
    <i>
      <x v="3"/>
    </i>
    <i>
      <x v="4"/>
    </i>
    <i>
      <x v="5"/>
    </i>
    <i>
      <x v="6"/>
    </i>
    <i t="grand">
      <x/>
    </i>
  </rowItems>
  <colItems count="1">
    <i/>
  </colItems>
  <dataFields count="1">
    <dataField name="Sum of Expens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3E1610-D535-403D-BC11-8577DE5F86C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0" firstHeaderRow="1" firstDataRow="1" firstDataCol="1"/>
  <pivotFields count="11">
    <pivotField numFmtId="15" showAll="0"/>
    <pivotField showAll="0"/>
    <pivotField axis="axisRow" showAll="0">
      <items count="7">
        <item x="3"/>
        <item x="2"/>
        <item x="4"/>
        <item x="1"/>
        <item x="5"/>
        <item x="0"/>
        <item t="default"/>
      </items>
    </pivotField>
    <pivotField showAll="0"/>
    <pivotField dataField="1" showAll="0"/>
    <pivotField showAll="0"/>
    <pivotField showAll="0"/>
    <pivotField showAll="0"/>
    <pivotField showAll="0"/>
    <pivotField showAll="0"/>
    <pivotField numFmtId="10" showAll="0"/>
  </pivotFields>
  <rowFields count="1">
    <field x="2"/>
  </rowFields>
  <rowItems count="7">
    <i>
      <x/>
    </i>
    <i>
      <x v="1"/>
    </i>
    <i>
      <x v="2"/>
    </i>
    <i>
      <x v="3"/>
    </i>
    <i>
      <x v="4"/>
    </i>
    <i>
      <x v="5"/>
    </i>
    <i t="grand">
      <x/>
    </i>
  </rowItems>
  <colItems count="1">
    <i/>
  </colItems>
  <dataFields count="1">
    <dataField name="Sum of Revenue"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1C0C4D-D490-4D62-B458-50D67CF55A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11" firstHeaderRow="1" firstDataRow="1" firstDataCol="1"/>
  <pivotFields count="11">
    <pivotField numFmtId="15"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 numFmtId="10" showAll="0"/>
  </pivotFields>
  <rowFields count="1">
    <field x="1"/>
  </rowFields>
  <rowItems count="9">
    <i>
      <x/>
    </i>
    <i>
      <x v="1"/>
    </i>
    <i>
      <x v="2"/>
    </i>
    <i>
      <x v="3"/>
    </i>
    <i>
      <x v="4"/>
    </i>
    <i>
      <x v="5"/>
    </i>
    <i>
      <x v="6"/>
    </i>
    <i>
      <x v="7"/>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51B0B3-2203-4D57-9D5E-4E2A509898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1">
    <pivotField numFmtId="15" showAll="0"/>
    <pivotField axis="axisRow" showAll="0">
      <items count="9">
        <item x="0"/>
        <item x="1"/>
        <item x="2"/>
        <item x="3"/>
        <item x="4"/>
        <item x="5"/>
        <item x="6"/>
        <item x="7"/>
        <item t="default"/>
      </items>
    </pivotField>
    <pivotField showAll="0"/>
    <pivotField showAll="0"/>
    <pivotField showAll="0"/>
    <pivotField dataField="1" showAll="0"/>
    <pivotField showAll="0"/>
    <pivotField showAll="0"/>
    <pivotField showAll="0"/>
    <pivotField showAll="0"/>
    <pivotField numFmtId="10" showAll="0"/>
  </pivotFields>
  <rowFields count="1">
    <field x="1"/>
  </rowFields>
  <rowItems count="9">
    <i>
      <x/>
    </i>
    <i>
      <x v="1"/>
    </i>
    <i>
      <x v="2"/>
    </i>
    <i>
      <x v="3"/>
    </i>
    <i>
      <x v="4"/>
    </i>
    <i>
      <x v="5"/>
    </i>
    <i>
      <x v="6"/>
    </i>
    <i>
      <x v="7"/>
    </i>
    <i t="grand">
      <x/>
    </i>
  </rowItems>
  <colItems count="1">
    <i/>
  </colItems>
  <dataFields count="1">
    <dataField name="Sum of Expens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9C9DF7-3715-44C6-BE39-0335D3421A0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6:F23" firstHeaderRow="0" firstDataRow="1" firstDataCol="1"/>
  <pivotFields count="11">
    <pivotField numFmtId="15" showAll="0"/>
    <pivotField showAll="0"/>
    <pivotField axis="axisRow" showAll="0">
      <items count="7">
        <item x="3"/>
        <item x="2"/>
        <item x="4"/>
        <item x="1"/>
        <item x="5"/>
        <item x="0"/>
        <item t="default"/>
      </items>
    </pivotField>
    <pivotField showAll="0"/>
    <pivotField showAll="0"/>
    <pivotField dataField="1" showAll="0"/>
    <pivotField dataField="1" showAll="0"/>
    <pivotField showAll="0"/>
    <pivotField showAll="0"/>
    <pivotField showAll="0"/>
    <pivotField numFmtId="10" showAll="0"/>
  </pivotFields>
  <rowFields count="1">
    <field x="2"/>
  </rowFields>
  <rowItems count="7">
    <i>
      <x/>
    </i>
    <i>
      <x v="1"/>
    </i>
    <i>
      <x v="2"/>
    </i>
    <i>
      <x v="3"/>
    </i>
    <i>
      <x v="4"/>
    </i>
    <i>
      <x v="5"/>
    </i>
    <i t="grand">
      <x/>
    </i>
  </rowItems>
  <colFields count="1">
    <field x="-2"/>
  </colFields>
  <colItems count="2">
    <i>
      <x/>
    </i>
    <i i="1">
      <x v="1"/>
    </i>
  </colItems>
  <dataFields count="2">
    <dataField name="Sum of Budget" fld="6" baseField="0" baseItem="0"/>
    <dataField name="Sum of Expenses"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E433ACE-A6A0-4722-8AF0-3FE92209DFBC}" sourceName="Department">
  <pivotTables>
    <pivotTable tabId="4" name="PivotTable1"/>
  </pivotTables>
  <data>
    <tabular pivotCacheId="62583072">
      <items count="6">
        <i x="3" s="1"/>
        <i x="2" s="1"/>
        <i x="4" s="1"/>
        <i x="1"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88F8740-AAFE-4CFB-A5BC-864E7B4CB264}" sourceName="Month">
  <pivotTables>
    <pivotTable tabId="4" name="PivotTable1"/>
  </pivotTables>
  <data>
    <tabular pivotCacheId="62583072">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E07545-642C-42A8-9C08-00C04E9EBFF4}" sourceName="Region">
  <pivotTables>
    <pivotTable tabId="4" name="PivotTable1"/>
  </pivotTables>
  <data>
    <tabular pivotCacheId="6258307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6735BF8-CCE5-4CF7-AF20-A810B35D4914}" cache="Slicer_Department" caption="Department" style="SlicerStyleDark6" rowHeight="234950"/>
  <slicer name="Month" xr10:uid="{1FD4DD9E-BBDA-4F82-95CB-034464D2AA68}" cache="Slicer_Month" caption="Month" style="SlicerStyleDark6" rowHeight="234950"/>
  <slicer name="Region" xr10:uid="{A4473C41-5F0E-4671-B214-8D6317C6587B}" cache="Slicer_Region" caption="Region"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4135F-E7EA-4062-B6AC-724E5B23DEB3}">
  <dimension ref="A2:N23"/>
  <sheetViews>
    <sheetView workbookViewId="0">
      <selection activeCell="R41" sqref="R41"/>
    </sheetView>
  </sheetViews>
  <sheetFormatPr defaultRowHeight="14.4" x14ac:dyDescent="0.3"/>
  <cols>
    <col min="1" max="1" width="12.5546875" bestFit="1" customWidth="1"/>
    <col min="2" max="2" width="14.88671875" bestFit="1" customWidth="1"/>
    <col min="3" max="6" width="15.21875" bestFit="1" customWidth="1"/>
    <col min="7" max="7" width="12.5546875" bestFit="1" customWidth="1"/>
    <col min="8" max="8" width="12.88671875" bestFit="1" customWidth="1"/>
    <col min="10" max="10" width="14.109375" bestFit="1" customWidth="1"/>
    <col min="11" max="11" width="14.88671875" bestFit="1" customWidth="1"/>
    <col min="13" max="13" width="13.109375" bestFit="1" customWidth="1"/>
    <col min="14" max="14" width="15.21875" bestFit="1" customWidth="1"/>
  </cols>
  <sheetData>
    <row r="2" spans="1:14" x14ac:dyDescent="0.3">
      <c r="G2" s="8" t="s">
        <v>41</v>
      </c>
      <c r="H2" t="s">
        <v>45</v>
      </c>
    </row>
    <row r="3" spans="1:14" x14ac:dyDescent="0.3">
      <c r="A3" s="8" t="s">
        <v>41</v>
      </c>
      <c r="B3" t="s">
        <v>43</v>
      </c>
      <c r="D3" s="8" t="s">
        <v>41</v>
      </c>
      <c r="E3" t="s">
        <v>44</v>
      </c>
      <c r="G3" s="9" t="s">
        <v>9</v>
      </c>
      <c r="H3">
        <v>208000</v>
      </c>
      <c r="J3" s="8" t="s">
        <v>41</v>
      </c>
      <c r="K3" t="s">
        <v>43</v>
      </c>
      <c r="M3" s="8" t="s">
        <v>41</v>
      </c>
      <c r="N3" t="s">
        <v>44</v>
      </c>
    </row>
    <row r="4" spans="1:14" x14ac:dyDescent="0.3">
      <c r="A4" s="9" t="s">
        <v>9</v>
      </c>
      <c r="B4">
        <v>573000</v>
      </c>
      <c r="D4" s="9" t="s">
        <v>9</v>
      </c>
      <c r="E4">
        <v>365000</v>
      </c>
      <c r="G4" s="9" t="s">
        <v>30</v>
      </c>
      <c r="H4">
        <v>189000</v>
      </c>
      <c r="J4" s="9" t="s">
        <v>20</v>
      </c>
      <c r="K4">
        <v>637000</v>
      </c>
      <c r="M4" s="9" t="s">
        <v>14</v>
      </c>
      <c r="N4">
        <v>467000</v>
      </c>
    </row>
    <row r="5" spans="1:14" x14ac:dyDescent="0.3">
      <c r="A5" s="9" t="s">
        <v>30</v>
      </c>
      <c r="B5">
        <v>496000</v>
      </c>
      <c r="D5" s="9" t="s">
        <v>30</v>
      </c>
      <c r="E5">
        <v>307000</v>
      </c>
      <c r="G5" s="9" t="s">
        <v>32</v>
      </c>
      <c r="H5">
        <v>183000</v>
      </c>
      <c r="J5" s="9" t="s">
        <v>17</v>
      </c>
      <c r="K5">
        <v>450000</v>
      </c>
      <c r="M5" s="9" t="s">
        <v>23</v>
      </c>
      <c r="N5">
        <v>272000</v>
      </c>
    </row>
    <row r="6" spans="1:14" x14ac:dyDescent="0.3">
      <c r="A6" s="9" t="s">
        <v>32</v>
      </c>
      <c r="B6">
        <v>502000</v>
      </c>
      <c r="D6" s="9" t="s">
        <v>32</v>
      </c>
      <c r="E6">
        <v>319000</v>
      </c>
      <c r="G6" s="9" t="s">
        <v>34</v>
      </c>
      <c r="H6">
        <v>169000</v>
      </c>
      <c r="J6" s="9" t="s">
        <v>24</v>
      </c>
      <c r="K6">
        <v>803000</v>
      </c>
      <c r="M6" s="9" t="s">
        <v>13</v>
      </c>
      <c r="N6">
        <v>629000</v>
      </c>
    </row>
    <row r="7" spans="1:14" x14ac:dyDescent="0.3">
      <c r="A7" s="9" t="s">
        <v>34</v>
      </c>
      <c r="B7">
        <v>462000</v>
      </c>
      <c r="D7" s="9" t="s">
        <v>34</v>
      </c>
      <c r="E7">
        <v>293000</v>
      </c>
      <c r="G7" s="9" t="s">
        <v>35</v>
      </c>
      <c r="H7">
        <v>196000</v>
      </c>
      <c r="J7" s="9" t="s">
        <v>14</v>
      </c>
      <c r="K7">
        <v>739000</v>
      </c>
      <c r="M7" s="9" t="s">
        <v>26</v>
      </c>
      <c r="N7">
        <v>497000</v>
      </c>
    </row>
    <row r="8" spans="1:14" x14ac:dyDescent="0.3">
      <c r="A8" s="9" t="s">
        <v>35</v>
      </c>
      <c r="B8">
        <v>534000</v>
      </c>
      <c r="D8" s="9" t="s">
        <v>35</v>
      </c>
      <c r="E8">
        <v>338000</v>
      </c>
      <c r="G8" s="9" t="s">
        <v>36</v>
      </c>
      <c r="H8">
        <v>182000</v>
      </c>
      <c r="J8" s="9" t="s">
        <v>27</v>
      </c>
      <c r="K8">
        <v>633000</v>
      </c>
      <c r="M8" s="9" t="s">
        <v>31</v>
      </c>
      <c r="N8">
        <v>249000</v>
      </c>
    </row>
    <row r="9" spans="1:14" x14ac:dyDescent="0.3">
      <c r="A9" s="9" t="s">
        <v>36</v>
      </c>
      <c r="B9">
        <v>508000</v>
      </c>
      <c r="D9" s="9" t="s">
        <v>36</v>
      </c>
      <c r="E9">
        <v>326000</v>
      </c>
      <c r="G9" s="9" t="s">
        <v>37</v>
      </c>
      <c r="H9">
        <v>211000</v>
      </c>
      <c r="J9" s="9" t="s">
        <v>10</v>
      </c>
      <c r="K9">
        <v>975000</v>
      </c>
      <c r="M9" s="9" t="s">
        <v>29</v>
      </c>
      <c r="N9">
        <v>296000</v>
      </c>
    </row>
    <row r="10" spans="1:14" x14ac:dyDescent="0.3">
      <c r="A10" s="9" t="s">
        <v>37</v>
      </c>
      <c r="B10">
        <v>558000</v>
      </c>
      <c r="D10" s="9" t="s">
        <v>37</v>
      </c>
      <c r="E10">
        <v>347000</v>
      </c>
      <c r="G10" s="9" t="s">
        <v>38</v>
      </c>
      <c r="H10">
        <v>226000</v>
      </c>
      <c r="J10" s="9" t="s">
        <v>42</v>
      </c>
      <c r="K10">
        <v>4237000</v>
      </c>
      <c r="M10" s="9" t="s">
        <v>33</v>
      </c>
      <c r="N10">
        <v>263000</v>
      </c>
    </row>
    <row r="11" spans="1:14" x14ac:dyDescent="0.3">
      <c r="A11" s="9" t="s">
        <v>38</v>
      </c>
      <c r="B11">
        <v>604000</v>
      </c>
      <c r="D11" s="9" t="s">
        <v>38</v>
      </c>
      <c r="E11">
        <v>378000</v>
      </c>
      <c r="G11" s="9" t="s">
        <v>42</v>
      </c>
      <c r="H11">
        <v>1564000</v>
      </c>
      <c r="M11" s="9" t="s">
        <v>42</v>
      </c>
      <c r="N11">
        <v>2673000</v>
      </c>
    </row>
    <row r="12" spans="1:14" x14ac:dyDescent="0.3">
      <c r="A12" s="9" t="s">
        <v>42</v>
      </c>
      <c r="B12">
        <v>4237000</v>
      </c>
      <c r="D12" s="9" t="s">
        <v>42</v>
      </c>
      <c r="E12">
        <v>2673000</v>
      </c>
      <c r="H12" s="10">
        <f>GETPIVOTDATA("Profit",$G$2)</f>
        <v>1564000</v>
      </c>
    </row>
    <row r="13" spans="1:14" x14ac:dyDescent="0.3">
      <c r="A13" s="10">
        <f>GETPIVOTDATA("Revenue",$A$3)</f>
        <v>4237000</v>
      </c>
      <c r="E13" s="10">
        <f>GETPIVOTDATA("Expenses",$D$3)</f>
        <v>2673000</v>
      </c>
      <c r="J13" s="7"/>
    </row>
    <row r="15" spans="1:14" x14ac:dyDescent="0.3">
      <c r="J15" s="7">
        <f>H12/A13</f>
        <v>0.36912910077885297</v>
      </c>
    </row>
    <row r="16" spans="1:14" x14ac:dyDescent="0.3">
      <c r="A16" s="8" t="s">
        <v>41</v>
      </c>
      <c r="B16" t="s">
        <v>44</v>
      </c>
      <c r="D16" s="8" t="s">
        <v>41</v>
      </c>
      <c r="E16" t="s">
        <v>46</v>
      </c>
      <c r="F16" t="s">
        <v>44</v>
      </c>
    </row>
    <row r="17" spans="1:8" x14ac:dyDescent="0.3">
      <c r="A17" s="9" t="s">
        <v>12</v>
      </c>
      <c r="B17">
        <v>584000</v>
      </c>
      <c r="D17" s="9" t="s">
        <v>20</v>
      </c>
      <c r="E17">
        <v>412000</v>
      </c>
      <c r="F17">
        <v>388000</v>
      </c>
    </row>
    <row r="18" spans="1:8" x14ac:dyDescent="0.3">
      <c r="A18" s="9" t="s">
        <v>16</v>
      </c>
      <c r="B18">
        <v>467000</v>
      </c>
      <c r="D18" s="9" t="s">
        <v>17</v>
      </c>
      <c r="E18">
        <v>316000</v>
      </c>
      <c r="F18">
        <v>294000</v>
      </c>
      <c r="H18" s="7">
        <f>H12/A13</f>
        <v>0.36912910077885297</v>
      </c>
    </row>
    <row r="19" spans="1:8" x14ac:dyDescent="0.3">
      <c r="A19" s="9" t="s">
        <v>22</v>
      </c>
      <c r="B19">
        <v>388000</v>
      </c>
      <c r="D19" s="9" t="s">
        <v>24</v>
      </c>
      <c r="E19">
        <v>532000</v>
      </c>
      <c r="F19">
        <v>497000</v>
      </c>
    </row>
    <row r="20" spans="1:8" x14ac:dyDescent="0.3">
      <c r="A20" s="9" t="s">
        <v>19</v>
      </c>
      <c r="B20">
        <v>294000</v>
      </c>
      <c r="D20" s="9" t="s">
        <v>14</v>
      </c>
      <c r="E20">
        <v>495000</v>
      </c>
      <c r="F20">
        <v>467000</v>
      </c>
    </row>
    <row r="21" spans="1:8" x14ac:dyDescent="0.3">
      <c r="A21" s="9" t="s">
        <v>28</v>
      </c>
      <c r="B21">
        <v>443000</v>
      </c>
      <c r="D21" s="9" t="s">
        <v>27</v>
      </c>
      <c r="E21">
        <v>457000</v>
      </c>
      <c r="F21">
        <v>443000</v>
      </c>
    </row>
    <row r="22" spans="1:8" x14ac:dyDescent="0.3">
      <c r="A22" s="9" t="s">
        <v>25</v>
      </c>
      <c r="B22">
        <v>497000</v>
      </c>
      <c r="D22" s="9" t="s">
        <v>10</v>
      </c>
      <c r="E22">
        <v>611000</v>
      </c>
      <c r="F22">
        <v>584000</v>
      </c>
    </row>
    <row r="23" spans="1:8" x14ac:dyDescent="0.3">
      <c r="A23" s="9" t="s">
        <v>42</v>
      </c>
      <c r="B23">
        <v>2673000</v>
      </c>
      <c r="D23" s="9" t="s">
        <v>42</v>
      </c>
      <c r="E23">
        <v>2823000</v>
      </c>
      <c r="F23">
        <v>2673000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71C31-5503-4F85-A3BB-B130B6277757}">
  <dimension ref="A1:N41"/>
  <sheetViews>
    <sheetView workbookViewId="0">
      <selection activeCell="N7" sqref="N7"/>
    </sheetView>
  </sheetViews>
  <sheetFormatPr defaultRowHeight="14.4" x14ac:dyDescent="0.3"/>
  <cols>
    <col min="1" max="1" width="9.88671875" bestFit="1" customWidth="1"/>
    <col min="2" max="2" width="8.109375" bestFit="1" customWidth="1"/>
    <col min="3" max="3" width="11.109375" bestFit="1" customWidth="1"/>
    <col min="4" max="4" width="6.77734375" bestFit="1" customWidth="1"/>
    <col min="5" max="5" width="8.33203125" bestFit="1" customWidth="1"/>
    <col min="6" max="6" width="8.6640625" bestFit="1" customWidth="1"/>
    <col min="7" max="7" width="7" bestFit="1" customWidth="1"/>
    <col min="8" max="8" width="11.5546875" bestFit="1" customWidth="1"/>
    <col min="9" max="9" width="16" bestFit="1" customWidth="1"/>
    <col min="10" max="10" width="6" bestFit="1" customWidth="1"/>
    <col min="11" max="11" width="12.109375" bestFit="1" customWidth="1"/>
    <col min="13" max="13" width="12.21875" bestFit="1" customWidth="1"/>
  </cols>
  <sheetData>
    <row r="1" spans="1:14" x14ac:dyDescent="0.3">
      <c r="A1" s="1" t="s">
        <v>0</v>
      </c>
      <c r="B1" s="1" t="s">
        <v>1</v>
      </c>
      <c r="C1" s="1" t="s">
        <v>2</v>
      </c>
      <c r="D1" s="1" t="s">
        <v>3</v>
      </c>
      <c r="E1" s="2" t="s">
        <v>4</v>
      </c>
      <c r="F1" s="2" t="s">
        <v>5</v>
      </c>
      <c r="G1" s="2" t="s">
        <v>6</v>
      </c>
      <c r="H1" s="1" t="s">
        <v>7</v>
      </c>
      <c r="I1" s="1" t="s">
        <v>8</v>
      </c>
      <c r="J1" s="2" t="s">
        <v>39</v>
      </c>
      <c r="K1" s="6" t="s">
        <v>40</v>
      </c>
    </row>
    <row r="2" spans="1:14" x14ac:dyDescent="0.3">
      <c r="A2" s="3">
        <v>46024</v>
      </c>
      <c r="B2" s="4" t="s">
        <v>9</v>
      </c>
      <c r="C2" s="4" t="s">
        <v>10</v>
      </c>
      <c r="D2" s="4" t="s">
        <v>11</v>
      </c>
      <c r="E2" s="5">
        <v>120000</v>
      </c>
      <c r="F2" s="5">
        <v>75000</v>
      </c>
      <c r="G2" s="5">
        <v>80000</v>
      </c>
      <c r="H2" s="4" t="s">
        <v>12</v>
      </c>
      <c r="I2" s="4" t="s">
        <v>13</v>
      </c>
      <c r="J2">
        <f>E2-F2</f>
        <v>45000</v>
      </c>
      <c r="K2" s="7">
        <f>J2/E2</f>
        <v>0.375</v>
      </c>
      <c r="M2" t="s">
        <v>47</v>
      </c>
      <c r="N2">
        <f>SUM(E1:E41)</f>
        <v>4237000</v>
      </c>
    </row>
    <row r="3" spans="1:14" x14ac:dyDescent="0.3">
      <c r="A3" s="3">
        <v>46027</v>
      </c>
      <c r="B3" s="4" t="s">
        <v>9</v>
      </c>
      <c r="C3" s="4" t="s">
        <v>14</v>
      </c>
      <c r="D3" s="4" t="s">
        <v>15</v>
      </c>
      <c r="E3" s="5">
        <v>95000</v>
      </c>
      <c r="F3" s="5">
        <v>60000</v>
      </c>
      <c r="G3" s="5">
        <v>65000</v>
      </c>
      <c r="H3" s="4" t="s">
        <v>16</v>
      </c>
      <c r="I3" s="4" t="s">
        <v>14</v>
      </c>
      <c r="J3">
        <f t="shared" ref="J3:J41" si="0">E3-F3</f>
        <v>35000</v>
      </c>
      <c r="K3" s="7">
        <f t="shared" ref="K3:K41" si="1">J3/E3</f>
        <v>0.36842105263157893</v>
      </c>
    </row>
    <row r="4" spans="1:14" x14ac:dyDescent="0.3">
      <c r="A4" s="3">
        <v>46030</v>
      </c>
      <c r="B4" s="4" t="s">
        <v>9</v>
      </c>
      <c r="C4" s="4" t="s">
        <v>17</v>
      </c>
      <c r="D4" s="4" t="s">
        <v>18</v>
      </c>
      <c r="E4" s="5">
        <v>70000</v>
      </c>
      <c r="F4" s="5">
        <v>45000</v>
      </c>
      <c r="G4" s="5">
        <v>50000</v>
      </c>
      <c r="H4" s="4" t="s">
        <v>19</v>
      </c>
      <c r="I4" s="4" t="s">
        <v>13</v>
      </c>
      <c r="J4">
        <f t="shared" si="0"/>
        <v>25000</v>
      </c>
      <c r="K4" s="7">
        <f t="shared" si="1"/>
        <v>0.35714285714285715</v>
      </c>
      <c r="M4" t="s">
        <v>48</v>
      </c>
      <c r="N4">
        <f>SUM(F1:F41)</f>
        <v>2673000</v>
      </c>
    </row>
    <row r="5" spans="1:14" x14ac:dyDescent="0.3">
      <c r="A5" s="3">
        <v>46034</v>
      </c>
      <c r="B5" s="4" t="s">
        <v>9</v>
      </c>
      <c r="C5" s="4" t="s">
        <v>20</v>
      </c>
      <c r="D5" s="4" t="s">
        <v>21</v>
      </c>
      <c r="E5" s="5">
        <v>85000</v>
      </c>
      <c r="F5" s="5">
        <v>50000</v>
      </c>
      <c r="G5" s="5">
        <v>55000</v>
      </c>
      <c r="H5" s="4" t="s">
        <v>22</v>
      </c>
      <c r="I5" s="4" t="s">
        <v>23</v>
      </c>
      <c r="J5">
        <f t="shared" si="0"/>
        <v>35000</v>
      </c>
      <c r="K5" s="7">
        <f t="shared" si="1"/>
        <v>0.41176470588235292</v>
      </c>
    </row>
    <row r="6" spans="1:14" x14ac:dyDescent="0.3">
      <c r="A6" s="3">
        <v>46040</v>
      </c>
      <c r="B6" s="4" t="s">
        <v>9</v>
      </c>
      <c r="C6" s="4" t="s">
        <v>24</v>
      </c>
      <c r="D6" s="4" t="s">
        <v>11</v>
      </c>
      <c r="E6" s="5">
        <v>105000</v>
      </c>
      <c r="F6" s="5">
        <v>65000</v>
      </c>
      <c r="G6" s="5">
        <v>70000</v>
      </c>
      <c r="H6" s="4" t="s">
        <v>25</v>
      </c>
      <c r="I6" s="4" t="s">
        <v>26</v>
      </c>
      <c r="J6">
        <f t="shared" si="0"/>
        <v>40000</v>
      </c>
      <c r="K6" s="7">
        <f t="shared" si="1"/>
        <v>0.38095238095238093</v>
      </c>
      <c r="M6" t="s">
        <v>49</v>
      </c>
      <c r="N6">
        <f>SUM(J1:J41)</f>
        <v>1564000</v>
      </c>
    </row>
    <row r="7" spans="1:14" x14ac:dyDescent="0.3">
      <c r="A7" s="3">
        <v>46047</v>
      </c>
      <c r="B7" s="4" t="s">
        <v>9</v>
      </c>
      <c r="C7" s="4" t="s">
        <v>27</v>
      </c>
      <c r="D7" s="4" t="s">
        <v>15</v>
      </c>
      <c r="E7" s="5">
        <v>98000</v>
      </c>
      <c r="F7" s="5">
        <v>70000</v>
      </c>
      <c r="G7" s="5">
        <v>72000</v>
      </c>
      <c r="H7" s="4" t="s">
        <v>28</v>
      </c>
      <c r="I7" s="4" t="s">
        <v>29</v>
      </c>
      <c r="J7">
        <f t="shared" si="0"/>
        <v>28000</v>
      </c>
      <c r="K7" s="7">
        <f t="shared" si="1"/>
        <v>0.2857142857142857</v>
      </c>
    </row>
    <row r="8" spans="1:14" x14ac:dyDescent="0.3">
      <c r="A8" s="3">
        <v>46057</v>
      </c>
      <c r="B8" s="4" t="s">
        <v>30</v>
      </c>
      <c r="C8" s="4" t="s">
        <v>10</v>
      </c>
      <c r="D8" s="4" t="s">
        <v>18</v>
      </c>
      <c r="E8" s="5">
        <v>130000</v>
      </c>
      <c r="F8" s="5">
        <v>78000</v>
      </c>
      <c r="G8" s="5">
        <v>82000</v>
      </c>
      <c r="H8" s="4" t="s">
        <v>12</v>
      </c>
      <c r="I8" s="4" t="s">
        <v>13</v>
      </c>
      <c r="J8">
        <f t="shared" si="0"/>
        <v>52000</v>
      </c>
      <c r="K8" s="7">
        <f t="shared" si="1"/>
        <v>0.4</v>
      </c>
    </row>
    <row r="9" spans="1:14" x14ac:dyDescent="0.3">
      <c r="A9" s="3">
        <v>46062</v>
      </c>
      <c r="B9" s="4" t="s">
        <v>30</v>
      </c>
      <c r="C9" s="4" t="s">
        <v>14</v>
      </c>
      <c r="D9" s="4" t="s">
        <v>21</v>
      </c>
      <c r="E9" s="5">
        <v>99000</v>
      </c>
      <c r="F9" s="5">
        <v>63000</v>
      </c>
      <c r="G9" s="5">
        <v>68000</v>
      </c>
      <c r="H9" s="4" t="s">
        <v>16</v>
      </c>
      <c r="I9" s="4" t="s">
        <v>14</v>
      </c>
      <c r="J9">
        <f t="shared" si="0"/>
        <v>36000</v>
      </c>
      <c r="K9" s="7">
        <f t="shared" si="1"/>
        <v>0.36363636363636365</v>
      </c>
    </row>
    <row r="10" spans="1:14" x14ac:dyDescent="0.3">
      <c r="A10" s="3">
        <v>46067</v>
      </c>
      <c r="B10" s="4" t="s">
        <v>30</v>
      </c>
      <c r="C10" s="4" t="s">
        <v>17</v>
      </c>
      <c r="D10" s="4" t="s">
        <v>11</v>
      </c>
      <c r="E10" s="5">
        <v>72000</v>
      </c>
      <c r="F10" s="5">
        <v>47000</v>
      </c>
      <c r="G10" s="5">
        <v>51000</v>
      </c>
      <c r="H10" s="4" t="s">
        <v>19</v>
      </c>
      <c r="I10" s="4" t="s">
        <v>31</v>
      </c>
      <c r="J10">
        <f t="shared" si="0"/>
        <v>25000</v>
      </c>
      <c r="K10" s="7">
        <f t="shared" si="1"/>
        <v>0.34722222222222221</v>
      </c>
    </row>
    <row r="11" spans="1:14" x14ac:dyDescent="0.3">
      <c r="A11" s="3">
        <v>46073</v>
      </c>
      <c r="B11" s="4" t="s">
        <v>30</v>
      </c>
      <c r="C11" s="4" t="s">
        <v>20</v>
      </c>
      <c r="D11" s="4" t="s">
        <v>15</v>
      </c>
      <c r="E11" s="5">
        <v>87000</v>
      </c>
      <c r="F11" s="5">
        <v>52000</v>
      </c>
      <c r="G11" s="5">
        <v>56000</v>
      </c>
      <c r="H11" s="4" t="s">
        <v>22</v>
      </c>
      <c r="I11" s="4" t="s">
        <v>23</v>
      </c>
      <c r="J11">
        <f t="shared" si="0"/>
        <v>35000</v>
      </c>
      <c r="K11" s="7">
        <f t="shared" si="1"/>
        <v>0.40229885057471265</v>
      </c>
    </row>
    <row r="12" spans="1:14" x14ac:dyDescent="0.3">
      <c r="A12" s="3">
        <v>46080</v>
      </c>
      <c r="B12" s="4" t="s">
        <v>30</v>
      </c>
      <c r="C12" s="4" t="s">
        <v>24</v>
      </c>
      <c r="D12" s="4" t="s">
        <v>18</v>
      </c>
      <c r="E12" s="5">
        <v>108000</v>
      </c>
      <c r="F12" s="5">
        <v>67000</v>
      </c>
      <c r="G12" s="5">
        <v>72000</v>
      </c>
      <c r="H12" s="4" t="s">
        <v>25</v>
      </c>
      <c r="I12" s="4" t="s">
        <v>26</v>
      </c>
      <c r="J12">
        <f t="shared" si="0"/>
        <v>41000</v>
      </c>
      <c r="K12" s="7">
        <f t="shared" si="1"/>
        <v>0.37962962962962965</v>
      </c>
    </row>
    <row r="13" spans="1:14" x14ac:dyDescent="0.3">
      <c r="A13" s="3">
        <v>46084</v>
      </c>
      <c r="B13" s="4" t="s">
        <v>32</v>
      </c>
      <c r="C13" s="4" t="s">
        <v>27</v>
      </c>
      <c r="D13" s="4" t="s">
        <v>21</v>
      </c>
      <c r="E13" s="5">
        <v>101000</v>
      </c>
      <c r="F13" s="5">
        <v>71000</v>
      </c>
      <c r="G13" s="5">
        <v>73000</v>
      </c>
      <c r="H13" s="4" t="s">
        <v>28</v>
      </c>
      <c r="I13" s="4" t="s">
        <v>33</v>
      </c>
      <c r="J13">
        <f t="shared" si="0"/>
        <v>30000</v>
      </c>
      <c r="K13" s="7">
        <f t="shared" si="1"/>
        <v>0.29702970297029702</v>
      </c>
    </row>
    <row r="14" spans="1:14" x14ac:dyDescent="0.3">
      <c r="A14" s="3">
        <v>46090</v>
      </c>
      <c r="B14" s="4" t="s">
        <v>32</v>
      </c>
      <c r="C14" s="4" t="s">
        <v>10</v>
      </c>
      <c r="D14" s="4" t="s">
        <v>11</v>
      </c>
      <c r="E14" s="5">
        <v>135000</v>
      </c>
      <c r="F14" s="5">
        <v>81000</v>
      </c>
      <c r="G14" s="5">
        <v>85000</v>
      </c>
      <c r="H14" s="4" t="s">
        <v>12</v>
      </c>
      <c r="I14" s="4" t="s">
        <v>13</v>
      </c>
      <c r="J14">
        <f t="shared" si="0"/>
        <v>54000</v>
      </c>
      <c r="K14" s="7">
        <f t="shared" si="1"/>
        <v>0.4</v>
      </c>
    </row>
    <row r="15" spans="1:14" x14ac:dyDescent="0.3">
      <c r="A15" s="3">
        <v>46095</v>
      </c>
      <c r="B15" s="4" t="s">
        <v>32</v>
      </c>
      <c r="C15" s="4" t="s">
        <v>14</v>
      </c>
      <c r="D15" s="4" t="s">
        <v>15</v>
      </c>
      <c r="E15" s="5">
        <v>103000</v>
      </c>
      <c r="F15" s="5">
        <v>65000</v>
      </c>
      <c r="G15" s="5">
        <v>69000</v>
      </c>
      <c r="H15" s="4" t="s">
        <v>16</v>
      </c>
      <c r="I15" s="4" t="s">
        <v>14</v>
      </c>
      <c r="J15">
        <f t="shared" si="0"/>
        <v>38000</v>
      </c>
      <c r="K15" s="7">
        <f t="shared" si="1"/>
        <v>0.36893203883495146</v>
      </c>
    </row>
    <row r="16" spans="1:14" x14ac:dyDescent="0.3">
      <c r="A16" s="3">
        <v>46099</v>
      </c>
      <c r="B16" s="4" t="s">
        <v>32</v>
      </c>
      <c r="C16" s="4" t="s">
        <v>17</v>
      </c>
      <c r="D16" s="4" t="s">
        <v>18</v>
      </c>
      <c r="E16" s="5">
        <v>74000</v>
      </c>
      <c r="F16" s="5">
        <v>48000</v>
      </c>
      <c r="G16" s="5">
        <v>52000</v>
      </c>
      <c r="H16" s="4" t="s">
        <v>19</v>
      </c>
      <c r="I16" s="4" t="s">
        <v>31</v>
      </c>
      <c r="J16">
        <f t="shared" si="0"/>
        <v>26000</v>
      </c>
      <c r="K16" s="7">
        <f t="shared" si="1"/>
        <v>0.35135135135135137</v>
      </c>
    </row>
    <row r="17" spans="1:11" x14ac:dyDescent="0.3">
      <c r="A17" s="3">
        <v>46107</v>
      </c>
      <c r="B17" s="4" t="s">
        <v>32</v>
      </c>
      <c r="C17" s="4" t="s">
        <v>20</v>
      </c>
      <c r="D17" s="4" t="s">
        <v>21</v>
      </c>
      <c r="E17" s="5">
        <v>89000</v>
      </c>
      <c r="F17" s="5">
        <v>54000</v>
      </c>
      <c r="G17" s="5">
        <v>57000</v>
      </c>
      <c r="H17" s="4" t="s">
        <v>22</v>
      </c>
      <c r="I17" s="4" t="s">
        <v>23</v>
      </c>
      <c r="J17">
        <f t="shared" si="0"/>
        <v>35000</v>
      </c>
      <c r="K17" s="7">
        <f t="shared" si="1"/>
        <v>0.39325842696629215</v>
      </c>
    </row>
    <row r="18" spans="1:11" x14ac:dyDescent="0.3">
      <c r="A18" s="3">
        <v>46115</v>
      </c>
      <c r="B18" s="4" t="s">
        <v>34</v>
      </c>
      <c r="C18" s="4" t="s">
        <v>24</v>
      </c>
      <c r="D18" s="4" t="s">
        <v>11</v>
      </c>
      <c r="E18" s="5">
        <v>112000</v>
      </c>
      <c r="F18" s="5">
        <v>69000</v>
      </c>
      <c r="G18" s="5">
        <v>74000</v>
      </c>
      <c r="H18" s="4" t="s">
        <v>25</v>
      </c>
      <c r="I18" s="4" t="s">
        <v>26</v>
      </c>
      <c r="J18">
        <f t="shared" si="0"/>
        <v>43000</v>
      </c>
      <c r="K18" s="7">
        <f t="shared" si="1"/>
        <v>0.38392857142857145</v>
      </c>
    </row>
    <row r="19" spans="1:11" x14ac:dyDescent="0.3">
      <c r="A19" s="3">
        <v>46122</v>
      </c>
      <c r="B19" s="4" t="s">
        <v>34</v>
      </c>
      <c r="C19" s="4" t="s">
        <v>27</v>
      </c>
      <c r="D19" s="4" t="s">
        <v>15</v>
      </c>
      <c r="E19" s="5">
        <v>104000</v>
      </c>
      <c r="F19" s="5">
        <v>73000</v>
      </c>
      <c r="G19" s="5">
        <v>75000</v>
      </c>
      <c r="H19" s="4" t="s">
        <v>28</v>
      </c>
      <c r="I19" s="4" t="s">
        <v>29</v>
      </c>
      <c r="J19">
        <f t="shared" si="0"/>
        <v>31000</v>
      </c>
      <c r="K19" s="7">
        <f t="shared" si="1"/>
        <v>0.29807692307692307</v>
      </c>
    </row>
    <row r="20" spans="1:11" x14ac:dyDescent="0.3">
      <c r="A20" s="3">
        <v>46128</v>
      </c>
      <c r="B20" s="4" t="s">
        <v>34</v>
      </c>
      <c r="C20" s="4" t="s">
        <v>10</v>
      </c>
      <c r="D20" s="4" t="s">
        <v>18</v>
      </c>
      <c r="E20" s="5">
        <v>140000</v>
      </c>
      <c r="F20" s="5">
        <v>84000</v>
      </c>
      <c r="G20" s="5">
        <v>87000</v>
      </c>
      <c r="H20" s="4" t="s">
        <v>12</v>
      </c>
      <c r="I20" s="4" t="s">
        <v>13</v>
      </c>
      <c r="J20">
        <f t="shared" si="0"/>
        <v>56000</v>
      </c>
      <c r="K20" s="7">
        <f t="shared" si="1"/>
        <v>0.4</v>
      </c>
    </row>
    <row r="21" spans="1:11" x14ac:dyDescent="0.3">
      <c r="A21" s="3">
        <v>46136</v>
      </c>
      <c r="B21" s="4" t="s">
        <v>34</v>
      </c>
      <c r="C21" s="4" t="s">
        <v>14</v>
      </c>
      <c r="D21" s="4" t="s">
        <v>21</v>
      </c>
      <c r="E21" s="5">
        <v>106000</v>
      </c>
      <c r="F21" s="5">
        <v>67000</v>
      </c>
      <c r="G21" s="5">
        <v>71000</v>
      </c>
      <c r="H21" s="4" t="s">
        <v>16</v>
      </c>
      <c r="I21" s="4" t="s">
        <v>14</v>
      </c>
      <c r="J21">
        <f t="shared" si="0"/>
        <v>39000</v>
      </c>
      <c r="K21" s="7">
        <f t="shared" si="1"/>
        <v>0.36792452830188677</v>
      </c>
    </row>
    <row r="22" spans="1:11" x14ac:dyDescent="0.3">
      <c r="A22" s="3">
        <v>46144</v>
      </c>
      <c r="B22" s="4" t="s">
        <v>35</v>
      </c>
      <c r="C22" s="4" t="s">
        <v>17</v>
      </c>
      <c r="D22" s="4" t="s">
        <v>11</v>
      </c>
      <c r="E22" s="5">
        <v>76000</v>
      </c>
      <c r="F22" s="5">
        <v>50000</v>
      </c>
      <c r="G22" s="5">
        <v>53000</v>
      </c>
      <c r="H22" s="4" t="s">
        <v>19</v>
      </c>
      <c r="I22" s="4" t="s">
        <v>31</v>
      </c>
      <c r="J22">
        <f t="shared" si="0"/>
        <v>26000</v>
      </c>
      <c r="K22" s="7">
        <f t="shared" si="1"/>
        <v>0.34210526315789475</v>
      </c>
    </row>
    <row r="23" spans="1:11" x14ac:dyDescent="0.3">
      <c r="A23" s="3">
        <v>46151</v>
      </c>
      <c r="B23" s="4" t="s">
        <v>35</v>
      </c>
      <c r="C23" s="4" t="s">
        <v>20</v>
      </c>
      <c r="D23" s="4" t="s">
        <v>15</v>
      </c>
      <c r="E23" s="5">
        <v>91000</v>
      </c>
      <c r="F23" s="5">
        <v>56000</v>
      </c>
      <c r="G23" s="5">
        <v>59000</v>
      </c>
      <c r="H23" s="4" t="s">
        <v>22</v>
      </c>
      <c r="I23" s="4" t="s">
        <v>33</v>
      </c>
      <c r="J23">
        <f t="shared" si="0"/>
        <v>35000</v>
      </c>
      <c r="K23" s="7">
        <f t="shared" si="1"/>
        <v>0.38461538461538464</v>
      </c>
    </row>
    <row r="24" spans="1:11" x14ac:dyDescent="0.3">
      <c r="A24" s="3">
        <v>46157</v>
      </c>
      <c r="B24" s="4" t="s">
        <v>35</v>
      </c>
      <c r="C24" s="4" t="s">
        <v>24</v>
      </c>
      <c r="D24" s="4" t="s">
        <v>18</v>
      </c>
      <c r="E24" s="5">
        <v>115000</v>
      </c>
      <c r="F24" s="5">
        <v>71000</v>
      </c>
      <c r="G24" s="5">
        <v>76000</v>
      </c>
      <c r="H24" s="4" t="s">
        <v>25</v>
      </c>
      <c r="I24" s="4" t="s">
        <v>26</v>
      </c>
      <c r="J24">
        <f t="shared" si="0"/>
        <v>44000</v>
      </c>
      <c r="K24" s="7">
        <f t="shared" si="1"/>
        <v>0.38260869565217392</v>
      </c>
    </row>
    <row r="25" spans="1:11" x14ac:dyDescent="0.3">
      <c r="A25" s="3">
        <v>46164</v>
      </c>
      <c r="B25" s="4" t="s">
        <v>35</v>
      </c>
      <c r="C25" s="4" t="s">
        <v>27</v>
      </c>
      <c r="D25" s="4" t="s">
        <v>21</v>
      </c>
      <c r="E25" s="5">
        <v>107000</v>
      </c>
      <c r="F25" s="5">
        <v>75000</v>
      </c>
      <c r="G25" s="5">
        <v>77000</v>
      </c>
      <c r="H25" s="4" t="s">
        <v>28</v>
      </c>
      <c r="I25" s="4" t="s">
        <v>29</v>
      </c>
      <c r="J25">
        <f t="shared" si="0"/>
        <v>32000</v>
      </c>
      <c r="K25" s="7">
        <f t="shared" si="1"/>
        <v>0.29906542056074764</v>
      </c>
    </row>
    <row r="26" spans="1:11" x14ac:dyDescent="0.3">
      <c r="A26" s="3">
        <v>46171</v>
      </c>
      <c r="B26" s="4" t="s">
        <v>35</v>
      </c>
      <c r="C26" s="4" t="s">
        <v>10</v>
      </c>
      <c r="D26" s="4" t="s">
        <v>11</v>
      </c>
      <c r="E26" s="5">
        <v>145000</v>
      </c>
      <c r="F26" s="5">
        <v>86000</v>
      </c>
      <c r="G26" s="5">
        <v>90000</v>
      </c>
      <c r="H26" s="4" t="s">
        <v>12</v>
      </c>
      <c r="I26" s="4" t="s">
        <v>13</v>
      </c>
      <c r="J26">
        <f t="shared" si="0"/>
        <v>59000</v>
      </c>
      <c r="K26" s="7">
        <f t="shared" si="1"/>
        <v>0.40689655172413791</v>
      </c>
    </row>
    <row r="27" spans="1:11" x14ac:dyDescent="0.3">
      <c r="A27" s="3">
        <v>46178</v>
      </c>
      <c r="B27" s="4" t="s">
        <v>36</v>
      </c>
      <c r="C27" s="4" t="s">
        <v>14</v>
      </c>
      <c r="D27" s="4" t="s">
        <v>15</v>
      </c>
      <c r="E27" s="5">
        <v>109000</v>
      </c>
      <c r="F27" s="5">
        <v>69000</v>
      </c>
      <c r="G27" s="5">
        <v>73000</v>
      </c>
      <c r="H27" s="4" t="s">
        <v>16</v>
      </c>
      <c r="I27" s="4" t="s">
        <v>14</v>
      </c>
      <c r="J27">
        <f t="shared" si="0"/>
        <v>40000</v>
      </c>
      <c r="K27" s="7">
        <f t="shared" si="1"/>
        <v>0.3669724770642202</v>
      </c>
    </row>
    <row r="28" spans="1:11" x14ac:dyDescent="0.3">
      <c r="A28" s="3">
        <v>46184</v>
      </c>
      <c r="B28" s="4" t="s">
        <v>36</v>
      </c>
      <c r="C28" s="4" t="s">
        <v>17</v>
      </c>
      <c r="D28" s="4" t="s">
        <v>18</v>
      </c>
      <c r="E28" s="5">
        <v>78000</v>
      </c>
      <c r="F28" s="5">
        <v>51000</v>
      </c>
      <c r="G28" s="5">
        <v>54000</v>
      </c>
      <c r="H28" s="4" t="s">
        <v>19</v>
      </c>
      <c r="I28" s="4" t="s">
        <v>31</v>
      </c>
      <c r="J28">
        <f t="shared" si="0"/>
        <v>27000</v>
      </c>
      <c r="K28" s="7">
        <f t="shared" si="1"/>
        <v>0.34615384615384615</v>
      </c>
    </row>
    <row r="29" spans="1:11" x14ac:dyDescent="0.3">
      <c r="A29" s="3">
        <v>46191</v>
      </c>
      <c r="B29" s="4" t="s">
        <v>36</v>
      </c>
      <c r="C29" s="4" t="s">
        <v>20</v>
      </c>
      <c r="D29" s="4" t="s">
        <v>21</v>
      </c>
      <c r="E29" s="5">
        <v>93000</v>
      </c>
      <c r="F29" s="5">
        <v>57000</v>
      </c>
      <c r="G29" s="5">
        <v>60000</v>
      </c>
      <c r="H29" s="4" t="s">
        <v>22</v>
      </c>
      <c r="I29" s="4" t="s">
        <v>23</v>
      </c>
      <c r="J29">
        <f t="shared" si="0"/>
        <v>36000</v>
      </c>
      <c r="K29" s="7">
        <f t="shared" si="1"/>
        <v>0.38709677419354838</v>
      </c>
    </row>
    <row r="30" spans="1:11" x14ac:dyDescent="0.3">
      <c r="A30" s="3">
        <v>46197</v>
      </c>
      <c r="B30" s="4" t="s">
        <v>36</v>
      </c>
      <c r="C30" s="4" t="s">
        <v>24</v>
      </c>
      <c r="D30" s="4" t="s">
        <v>11</v>
      </c>
      <c r="E30" s="5">
        <v>118000</v>
      </c>
      <c r="F30" s="5">
        <v>73000</v>
      </c>
      <c r="G30" s="5">
        <v>78000</v>
      </c>
      <c r="H30" s="4" t="s">
        <v>25</v>
      </c>
      <c r="I30" s="4" t="s">
        <v>26</v>
      </c>
      <c r="J30">
        <f t="shared" si="0"/>
        <v>45000</v>
      </c>
      <c r="K30" s="7">
        <f t="shared" si="1"/>
        <v>0.38135593220338981</v>
      </c>
    </row>
    <row r="31" spans="1:11" x14ac:dyDescent="0.3">
      <c r="A31" s="3">
        <v>46203</v>
      </c>
      <c r="B31" s="4" t="s">
        <v>36</v>
      </c>
      <c r="C31" s="4" t="s">
        <v>27</v>
      </c>
      <c r="D31" s="4" t="s">
        <v>15</v>
      </c>
      <c r="E31" s="5">
        <v>110000</v>
      </c>
      <c r="F31" s="5">
        <v>76000</v>
      </c>
      <c r="G31" s="5">
        <v>79000</v>
      </c>
      <c r="H31" s="4" t="s">
        <v>28</v>
      </c>
      <c r="I31" s="4" t="s">
        <v>33</v>
      </c>
      <c r="J31">
        <f t="shared" si="0"/>
        <v>34000</v>
      </c>
      <c r="K31" s="7">
        <f t="shared" si="1"/>
        <v>0.30909090909090908</v>
      </c>
    </row>
    <row r="32" spans="1:11" x14ac:dyDescent="0.3">
      <c r="A32" s="3">
        <v>46209</v>
      </c>
      <c r="B32" s="4" t="s">
        <v>37</v>
      </c>
      <c r="C32" s="4" t="s">
        <v>10</v>
      </c>
      <c r="D32" s="4" t="s">
        <v>18</v>
      </c>
      <c r="E32" s="5">
        <v>150000</v>
      </c>
      <c r="F32" s="5">
        <v>89000</v>
      </c>
      <c r="G32" s="5">
        <v>92000</v>
      </c>
      <c r="H32" s="4" t="s">
        <v>12</v>
      </c>
      <c r="I32" s="4" t="s">
        <v>13</v>
      </c>
      <c r="J32">
        <f t="shared" si="0"/>
        <v>61000</v>
      </c>
      <c r="K32" s="7">
        <f t="shared" si="1"/>
        <v>0.40666666666666668</v>
      </c>
    </row>
    <row r="33" spans="1:11" x14ac:dyDescent="0.3">
      <c r="A33" s="3">
        <v>46215</v>
      </c>
      <c r="B33" s="4" t="s">
        <v>37</v>
      </c>
      <c r="C33" s="4" t="s">
        <v>14</v>
      </c>
      <c r="D33" s="4" t="s">
        <v>21</v>
      </c>
      <c r="E33" s="5">
        <v>112000</v>
      </c>
      <c r="F33" s="5">
        <v>71000</v>
      </c>
      <c r="G33" s="5">
        <v>74000</v>
      </c>
      <c r="H33" s="4" t="s">
        <v>16</v>
      </c>
      <c r="I33" s="4" t="s">
        <v>14</v>
      </c>
      <c r="J33">
        <f t="shared" si="0"/>
        <v>41000</v>
      </c>
      <c r="K33" s="7">
        <f t="shared" si="1"/>
        <v>0.36607142857142855</v>
      </c>
    </row>
    <row r="34" spans="1:11" x14ac:dyDescent="0.3">
      <c r="A34" s="3">
        <v>46220</v>
      </c>
      <c r="B34" s="4" t="s">
        <v>37</v>
      </c>
      <c r="C34" s="4" t="s">
        <v>17</v>
      </c>
      <c r="D34" s="4" t="s">
        <v>11</v>
      </c>
      <c r="E34" s="5">
        <v>80000</v>
      </c>
      <c r="F34" s="5">
        <v>53000</v>
      </c>
      <c r="G34" s="5">
        <v>56000</v>
      </c>
      <c r="H34" s="4" t="s">
        <v>19</v>
      </c>
      <c r="I34" s="4" t="s">
        <v>31</v>
      </c>
      <c r="J34">
        <f t="shared" si="0"/>
        <v>27000</v>
      </c>
      <c r="K34" s="7">
        <f t="shared" si="1"/>
        <v>0.33750000000000002</v>
      </c>
    </row>
    <row r="35" spans="1:11" x14ac:dyDescent="0.3">
      <c r="A35" s="3">
        <v>46226</v>
      </c>
      <c r="B35" s="4" t="s">
        <v>37</v>
      </c>
      <c r="C35" s="4" t="s">
        <v>20</v>
      </c>
      <c r="D35" s="4" t="s">
        <v>15</v>
      </c>
      <c r="E35" s="5">
        <v>95000</v>
      </c>
      <c r="F35" s="5">
        <v>59000</v>
      </c>
      <c r="G35" s="5">
        <v>62000</v>
      </c>
      <c r="H35" s="4" t="s">
        <v>22</v>
      </c>
      <c r="I35" s="4" t="s">
        <v>23</v>
      </c>
      <c r="J35">
        <f t="shared" si="0"/>
        <v>36000</v>
      </c>
      <c r="K35" s="7">
        <f t="shared" si="1"/>
        <v>0.37894736842105264</v>
      </c>
    </row>
    <row r="36" spans="1:11" x14ac:dyDescent="0.3">
      <c r="A36" s="3">
        <v>46232</v>
      </c>
      <c r="B36" s="4" t="s">
        <v>37</v>
      </c>
      <c r="C36" s="4" t="s">
        <v>24</v>
      </c>
      <c r="D36" s="4" t="s">
        <v>18</v>
      </c>
      <c r="E36" s="5">
        <v>121000</v>
      </c>
      <c r="F36" s="5">
        <v>75000</v>
      </c>
      <c r="G36" s="5">
        <v>80000</v>
      </c>
      <c r="H36" s="4" t="s">
        <v>25</v>
      </c>
      <c r="I36" s="4" t="s">
        <v>26</v>
      </c>
      <c r="J36">
        <f t="shared" si="0"/>
        <v>46000</v>
      </c>
      <c r="K36" s="7">
        <f t="shared" si="1"/>
        <v>0.38016528925619836</v>
      </c>
    </row>
    <row r="37" spans="1:11" x14ac:dyDescent="0.3">
      <c r="A37" s="3">
        <v>46238</v>
      </c>
      <c r="B37" s="4" t="s">
        <v>38</v>
      </c>
      <c r="C37" s="4" t="s">
        <v>27</v>
      </c>
      <c r="D37" s="4" t="s">
        <v>21</v>
      </c>
      <c r="E37" s="5">
        <v>113000</v>
      </c>
      <c r="F37" s="5">
        <v>78000</v>
      </c>
      <c r="G37" s="5">
        <v>81000</v>
      </c>
      <c r="H37" s="4" t="s">
        <v>28</v>
      </c>
      <c r="I37" s="4" t="s">
        <v>29</v>
      </c>
      <c r="J37">
        <f t="shared" si="0"/>
        <v>35000</v>
      </c>
      <c r="K37" s="7">
        <f t="shared" si="1"/>
        <v>0.30973451327433627</v>
      </c>
    </row>
    <row r="38" spans="1:11" x14ac:dyDescent="0.3">
      <c r="A38" s="3">
        <v>46244</v>
      </c>
      <c r="B38" s="4" t="s">
        <v>38</v>
      </c>
      <c r="C38" s="4" t="s">
        <v>10</v>
      </c>
      <c r="D38" s="4" t="s">
        <v>11</v>
      </c>
      <c r="E38" s="5">
        <v>155000</v>
      </c>
      <c r="F38" s="5">
        <v>91000</v>
      </c>
      <c r="G38" s="5">
        <v>95000</v>
      </c>
      <c r="H38" s="4" t="s">
        <v>12</v>
      </c>
      <c r="I38" s="4" t="s">
        <v>13</v>
      </c>
      <c r="J38">
        <f t="shared" si="0"/>
        <v>64000</v>
      </c>
      <c r="K38" s="7">
        <f t="shared" si="1"/>
        <v>0.41290322580645161</v>
      </c>
    </row>
    <row r="39" spans="1:11" x14ac:dyDescent="0.3">
      <c r="A39" s="3">
        <v>46250</v>
      </c>
      <c r="B39" s="4" t="s">
        <v>38</v>
      </c>
      <c r="C39" s="4" t="s">
        <v>14</v>
      </c>
      <c r="D39" s="4" t="s">
        <v>15</v>
      </c>
      <c r="E39" s="5">
        <v>115000</v>
      </c>
      <c r="F39" s="5">
        <v>72000</v>
      </c>
      <c r="G39" s="5">
        <v>75000</v>
      </c>
      <c r="H39" s="4" t="s">
        <v>16</v>
      </c>
      <c r="I39" s="4" t="s">
        <v>14</v>
      </c>
      <c r="J39">
        <f t="shared" si="0"/>
        <v>43000</v>
      </c>
      <c r="K39" s="7">
        <f t="shared" si="1"/>
        <v>0.37391304347826088</v>
      </c>
    </row>
    <row r="40" spans="1:11" x14ac:dyDescent="0.3">
      <c r="A40" s="3">
        <v>46256</v>
      </c>
      <c r="B40" s="4" t="s">
        <v>38</v>
      </c>
      <c r="C40" s="4" t="s">
        <v>20</v>
      </c>
      <c r="D40" s="4" t="s">
        <v>18</v>
      </c>
      <c r="E40" s="5">
        <v>97000</v>
      </c>
      <c r="F40" s="5">
        <v>60000</v>
      </c>
      <c r="G40" s="5">
        <v>63000</v>
      </c>
      <c r="H40" s="4" t="s">
        <v>22</v>
      </c>
      <c r="I40" s="4" t="s">
        <v>33</v>
      </c>
      <c r="J40">
        <f t="shared" si="0"/>
        <v>37000</v>
      </c>
      <c r="K40" s="7">
        <f t="shared" si="1"/>
        <v>0.38144329896907214</v>
      </c>
    </row>
    <row r="41" spans="1:11" x14ac:dyDescent="0.3">
      <c r="A41" s="3">
        <v>46262</v>
      </c>
      <c r="B41" s="4" t="s">
        <v>38</v>
      </c>
      <c r="C41" s="4" t="s">
        <v>24</v>
      </c>
      <c r="D41" s="4" t="s">
        <v>21</v>
      </c>
      <c r="E41" s="5">
        <v>124000</v>
      </c>
      <c r="F41" s="5">
        <v>77000</v>
      </c>
      <c r="G41" s="5">
        <v>82000</v>
      </c>
      <c r="H41" s="4" t="s">
        <v>25</v>
      </c>
      <c r="I41" s="4" t="s">
        <v>26</v>
      </c>
      <c r="J41">
        <f t="shared" si="0"/>
        <v>47000</v>
      </c>
      <c r="K41" s="7">
        <f t="shared" si="1"/>
        <v>0.37903225806451613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408A-F482-47DB-BD5C-420801251662}">
  <dimension ref="A1"/>
  <sheetViews>
    <sheetView showGridLines="0" tabSelected="1" workbookViewId="0">
      <selection activeCell="R41" sqref="R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2026-07-27T03:24:08Z</dcterms:created>
  <dcterms:modified xsi:type="dcterms:W3CDTF">2026-07-27T17:02:05Z</dcterms:modified>
</cp:coreProperties>
</file>