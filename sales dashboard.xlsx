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A81CE7C1-DC66-4D47-BD62-5A83A9ACA8E2}" xr6:coauthVersionLast="47" xr6:coauthVersionMax="47" xr10:uidLastSave="{00000000-0000-0000-0000-000000000000}"/>
  <bookViews>
    <workbookView xWindow="-108" yWindow="-108" windowWidth="23256" windowHeight="12456" xr2:uid="{FCF1486A-BA6D-4D6C-85E0-EB6F9C31ACF9}"/>
  </bookViews>
  <sheets>
    <sheet name="Dashboard" sheetId="5" r:id="rId1"/>
    <sheet name="Raw Data" sheetId="1" r:id="rId2"/>
    <sheet name="Pivot Table" sheetId="4" r:id="rId3"/>
  </sheets>
  <definedNames>
    <definedName name="Order_ID">Table1[[#All],[Order ID]]</definedName>
    <definedName name="Profit">Table1[[#All],[Profit]]</definedName>
    <definedName name="Quantity">Table1[[#All],[Quantity]]</definedName>
    <definedName name="Sales">Table1[[#All],[Sales]]</definedName>
    <definedName name="Slicer_Category">#N/A</definedName>
    <definedName name="Slicer_Region">#N/A</definedName>
    <definedName name="Slicer_Salespers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 i="4" l="1"/>
  <c r="F9" i="4"/>
  <c r="M8" i="4"/>
  <c r="Q6" i="4"/>
</calcChain>
</file>

<file path=xl/sharedStrings.xml><?xml version="1.0" encoding="utf-8"?>
<sst xmlns="http://schemas.openxmlformats.org/spreadsheetml/2006/main" count="86" uniqueCount="32">
  <si>
    <t>Order ID</t>
  </si>
  <si>
    <t>Date</t>
  </si>
  <si>
    <t>Region</t>
  </si>
  <si>
    <t>Category</t>
  </si>
  <si>
    <t>Product</t>
  </si>
  <si>
    <t>Salesperson</t>
  </si>
  <si>
    <t>Quantity</t>
  </si>
  <si>
    <t>Sales</t>
  </si>
  <si>
    <t>Profit</t>
  </si>
  <si>
    <t>North</t>
  </si>
  <si>
    <t>Electronics</t>
  </si>
  <si>
    <t>Laptop</t>
  </si>
  <si>
    <t>Amit</t>
  </si>
  <si>
    <t>South</t>
  </si>
  <si>
    <t>Furniture</t>
  </si>
  <si>
    <t>Chair</t>
  </si>
  <si>
    <t>Ravi</t>
  </si>
  <si>
    <t>Table</t>
  </si>
  <si>
    <t>Priya</t>
  </si>
  <si>
    <t>East</t>
  </si>
  <si>
    <t>Phone</t>
  </si>
  <si>
    <t>Neha</t>
  </si>
  <si>
    <t>West</t>
  </si>
  <si>
    <t>Sofa</t>
  </si>
  <si>
    <t>Rahul</t>
  </si>
  <si>
    <t>TV</t>
  </si>
  <si>
    <t>Bed</t>
  </si>
  <si>
    <t>Row Labels</t>
  </si>
  <si>
    <t>Grand Total</t>
  </si>
  <si>
    <t>Sum of Sales</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</si>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</sst>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5" formatCode="&quot;₹&quot;\ #,##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10">
    <xf numFmtId="0" fontId="0" fillId="0" borderId="0" xfId="0"/>
    <xf numFmtId="0" fontId="1" fillId="0" borderId="0" xfId="0" applyFont="1" applyAlignment="1">
      <alignment horizontal="right" vertical="center"/>
    </xf>
    <xf numFmtId="0" fontId="1" fillId="0" borderId="0" xfId="0" applyFont="1" applyAlignment="1">
      <alignment horizontal="center" vertical="center"/>
    </xf>
    <xf numFmtId="0" fontId="0" fillId="0" borderId="0" xfId="0" applyAlignment="1">
      <alignment horizontal="right" vertical="center"/>
    </xf>
    <xf numFmtId="15" fontId="0" fillId="0" borderId="0" xfId="0" applyNumberFormat="1" applyAlignment="1">
      <alignment vertical="center"/>
    </xf>
    <xf numFmtId="0" fontId="0" fillId="0" borderId="0" xfId="0" applyAlignment="1">
      <alignment vertical="center"/>
    </xf>
    <xf numFmtId="0" fontId="0" fillId="0" borderId="0" xfId="0" pivotButton="1"/>
    <xf numFmtId="0" fontId="0" fillId="0" borderId="0" xfId="0" applyAlignment="1">
      <alignment horizontal="left"/>
    </xf>
    <xf numFmtId="165" fontId="0" fillId="0" borderId="0" xfId="0" applyNumberFormat="1"/>
    <xf numFmtId="165" fontId="0" fillId="0" borderId="0" xfId="1" applyNumberFormat="1" applyFont="1"/>
  </cellXfs>
  <cellStyles count="2">
    <cellStyle name="Comma" xfId="1" builtinId="3"/>
    <cellStyle name="Normal" xfId="0" builtinId="0"/>
  </cellStyles>
  <dxfs count="11">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d/mmm/yy"/>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s>
  <tableStyles count="0" defaultTableStyle="TableStyleMedium2" defaultPivotStyle="PivotStyleLight16"/>
  <colors>
    <mruColors>
      <color rgb="FF084F6A"/>
      <color rgb="FF0B76A0"/>
      <color rgb="FFF0F8FD"/>
      <color rgb="FF891DAB"/>
      <color rgb="FF9933FF"/>
      <color rgb="FFCCCCFF"/>
      <color rgb="FF9966FF"/>
      <color rgb="FFC90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[23-07-2026.xlsx]Pivot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rgbClr val="084F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Table'!$A$2:$A$6</c:f>
              <c:strCache>
                <c:ptCount val="4"/>
                <c:pt idx="0">
                  <c:v>East</c:v>
                </c:pt>
                <c:pt idx="1">
                  <c:v>North</c:v>
                </c:pt>
                <c:pt idx="2">
                  <c:v>South</c:v>
                </c:pt>
                <c:pt idx="3">
                  <c:v>West</c:v>
                </c:pt>
              </c:strCache>
            </c:strRef>
          </c:cat>
          <c:val>
            <c:numRef>
              <c:f>'Pivot Table'!$B$2:$B$6</c:f>
              <c:numCache>
                <c:formatCode>General</c:formatCode>
                <c:ptCount val="4"/>
                <c:pt idx="0">
                  <c:v>65000</c:v>
                </c:pt>
                <c:pt idx="1">
                  <c:v>166000</c:v>
                </c:pt>
                <c:pt idx="2">
                  <c:v>93000</c:v>
                </c:pt>
                <c:pt idx="3">
                  <c:v>87000</c:v>
                </c:pt>
              </c:numCache>
            </c:numRef>
          </c:val>
          <c:extLst>
            <c:ext xmlns:c16="http://schemas.microsoft.com/office/drawing/2014/chart" uri="{C3380CC4-5D6E-409C-BE32-E72D297353CC}">
              <c16:uniqueId val="{00000000-5B5B-4F6C-834E-9AF4005EC925}"/>
            </c:ext>
          </c:extLst>
        </c:ser>
        <c:dLbls>
          <c:dLblPos val="outEnd"/>
          <c:showLegendKey val="0"/>
          <c:showVal val="1"/>
          <c:showCatName val="0"/>
          <c:showSerName val="0"/>
          <c:showPercent val="0"/>
          <c:showBubbleSize val="0"/>
        </c:dLbls>
        <c:gapWidth val="219"/>
        <c:overlap val="-27"/>
        <c:axId val="692870831"/>
        <c:axId val="692866991"/>
      </c:barChart>
      <c:catAx>
        <c:axId val="6928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66991"/>
        <c:crosses val="autoZero"/>
        <c:auto val="1"/>
        <c:lblAlgn val="ctr"/>
        <c:lblOffset val="100"/>
        <c:noMultiLvlLbl val="0"/>
      </c:catAx>
      <c:valAx>
        <c:axId val="69286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70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[23-07-2026.xlsx]Pivot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 </a:t>
            </a:r>
            <a:endParaRPr lang="en-IN"/>
          </a:p>
        </c:rich>
      </c:tx>
      <c:layout>
        <c:manualLayout>
          <c:xMode val="edge"/>
          <c:yMode val="edge"/>
          <c:x val="0.31302284023007765"/>
          <c:y val="0.1476491362254945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084F6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84F6A"/>
          </a:solidFill>
          <a:ln w="19050">
            <a:solidFill>
              <a:schemeClr val="lt1"/>
            </a:solidFill>
          </a:ln>
          <a:effectLst/>
        </c:spPr>
      </c:pivotFmt>
      <c:pivotFmt>
        <c:idx val="8"/>
        <c:spPr>
          <a:solidFill>
            <a:srgbClr val="0B76A0"/>
          </a:solidFill>
          <a:ln w="19050">
            <a:solidFill>
              <a:schemeClr val="lt1"/>
            </a:solidFill>
          </a:ln>
          <a:effectLst/>
        </c:spPr>
      </c:pivotFmt>
    </c:pivotFmts>
    <c:plotArea>
      <c:layout/>
      <c:pieChart>
        <c:varyColors val="1"/>
        <c:ser>
          <c:idx val="0"/>
          <c:order val="0"/>
          <c:tx>
            <c:strRef>
              <c:f>'Pivot Table'!$R$1</c:f>
              <c:strCache>
                <c:ptCount val="1"/>
                <c:pt idx="0">
                  <c:v>Total</c:v>
                </c:pt>
              </c:strCache>
            </c:strRef>
          </c:tx>
          <c:spPr>
            <a:solidFill>
              <a:srgbClr val="084F6A"/>
            </a:solidFill>
          </c:spPr>
          <c:dPt>
            <c:idx val="0"/>
            <c:bubble3D val="0"/>
            <c:spPr>
              <a:solidFill>
                <a:srgbClr val="084F6A"/>
              </a:solidFill>
              <a:ln w="19050">
                <a:solidFill>
                  <a:schemeClr val="lt1"/>
                </a:solidFill>
              </a:ln>
              <a:effectLst/>
            </c:spPr>
            <c:extLst>
              <c:ext xmlns:c16="http://schemas.microsoft.com/office/drawing/2014/chart" uri="{C3380CC4-5D6E-409C-BE32-E72D297353CC}">
                <c16:uniqueId val="{00000001-0CA1-4A21-93A2-B676DA96A2F1}"/>
              </c:ext>
            </c:extLst>
          </c:dPt>
          <c:dPt>
            <c:idx val="1"/>
            <c:bubble3D val="0"/>
            <c:spPr>
              <a:solidFill>
                <a:srgbClr val="0B76A0"/>
              </a:solidFill>
              <a:ln w="19050">
                <a:solidFill>
                  <a:schemeClr val="lt1"/>
                </a:solidFill>
              </a:ln>
              <a:effectLst/>
            </c:spPr>
            <c:extLst>
              <c:ext xmlns:c16="http://schemas.microsoft.com/office/drawing/2014/chart" uri="{C3380CC4-5D6E-409C-BE32-E72D297353CC}">
                <c16:uniqueId val="{00000003-0CA1-4A21-93A2-B676DA96A2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Table'!$Q$2:$Q$4</c:f>
              <c:strCache>
                <c:ptCount val="2"/>
                <c:pt idx="0">
                  <c:v>Electronics</c:v>
                </c:pt>
                <c:pt idx="1">
                  <c:v>Furniture</c:v>
                </c:pt>
              </c:strCache>
            </c:strRef>
          </c:cat>
          <c:val>
            <c:numRef>
              <c:f>'Pivot Table'!$R$2:$R$4</c:f>
              <c:numCache>
                <c:formatCode>General</c:formatCode>
                <c:ptCount val="2"/>
                <c:pt idx="0">
                  <c:v>252000</c:v>
                </c:pt>
                <c:pt idx="1">
                  <c:v>159000</c:v>
                </c:pt>
              </c:numCache>
            </c:numRef>
          </c:val>
          <c:extLst>
            <c:ext xmlns:c16="http://schemas.microsoft.com/office/drawing/2014/chart" uri="{C3380CC4-5D6E-409C-BE32-E72D297353CC}">
              <c16:uniqueId val="{00000004-0CA1-4A21-93A2-B676DA96A2F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[23-07-2026.xlsx]Pivot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Salesperson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c:f>
              <c:strCache>
                <c:ptCount val="1"/>
                <c:pt idx="0">
                  <c:v>Total</c:v>
                </c:pt>
              </c:strCache>
            </c:strRef>
          </c:tx>
          <c:spPr>
            <a:solidFill>
              <a:srgbClr val="084F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Table'!$E$2:$E$7</c:f>
              <c:strCache>
                <c:ptCount val="5"/>
                <c:pt idx="0">
                  <c:v>Amit</c:v>
                </c:pt>
                <c:pt idx="1">
                  <c:v>Neha</c:v>
                </c:pt>
                <c:pt idx="2">
                  <c:v>Priya</c:v>
                </c:pt>
                <c:pt idx="3">
                  <c:v>Rahul</c:v>
                </c:pt>
                <c:pt idx="4">
                  <c:v>Ravi</c:v>
                </c:pt>
              </c:strCache>
            </c:strRef>
          </c:cat>
          <c:val>
            <c:numRef>
              <c:f>'Pivot Table'!$F$2:$F$7</c:f>
              <c:numCache>
                <c:formatCode>General</c:formatCode>
                <c:ptCount val="5"/>
                <c:pt idx="0">
                  <c:v>102000</c:v>
                </c:pt>
                <c:pt idx="1">
                  <c:v>65000</c:v>
                </c:pt>
                <c:pt idx="2">
                  <c:v>64000</c:v>
                </c:pt>
                <c:pt idx="3">
                  <c:v>87000</c:v>
                </c:pt>
                <c:pt idx="4">
                  <c:v>93000</c:v>
                </c:pt>
              </c:numCache>
            </c:numRef>
          </c:val>
          <c:extLst>
            <c:ext xmlns:c16="http://schemas.microsoft.com/office/drawing/2014/chart" uri="{C3380CC4-5D6E-409C-BE32-E72D297353CC}">
              <c16:uniqueId val="{00000000-98BA-4183-AB18-B6004FB1CCE4}"/>
            </c:ext>
          </c:extLst>
        </c:ser>
        <c:dLbls>
          <c:dLblPos val="outEnd"/>
          <c:showLegendKey val="0"/>
          <c:showVal val="1"/>
          <c:showCatName val="0"/>
          <c:showSerName val="0"/>
          <c:showPercent val="0"/>
          <c:showBubbleSize val="0"/>
        </c:dLbls>
        <c:gapWidth val="182"/>
        <c:axId val="692873711"/>
        <c:axId val="692878031"/>
      </c:barChart>
      <c:catAx>
        <c:axId val="69287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78031"/>
        <c:crosses val="autoZero"/>
        <c:auto val="1"/>
        <c:lblAlgn val="ctr"/>
        <c:lblOffset val="100"/>
        <c:noMultiLvlLbl val="0"/>
      </c:catAx>
      <c:valAx>
        <c:axId val="692878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73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[23-07-2026.xlsx]Pivot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Table'!$N$1</c:f>
              <c:strCache>
                <c:ptCount val="1"/>
                <c:pt idx="0">
                  <c:v>Total</c:v>
                </c:pt>
              </c:strCache>
            </c:strRef>
          </c:tx>
          <c:spPr>
            <a:solidFill>
              <a:srgbClr val="084F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Table'!$M$2:$M$6</c:f>
              <c:strCache>
                <c:ptCount val="4"/>
                <c:pt idx="0">
                  <c:v>East</c:v>
                </c:pt>
                <c:pt idx="1">
                  <c:v>North</c:v>
                </c:pt>
                <c:pt idx="2">
                  <c:v>South</c:v>
                </c:pt>
                <c:pt idx="3">
                  <c:v>West</c:v>
                </c:pt>
              </c:strCache>
            </c:strRef>
          </c:cat>
          <c:val>
            <c:numRef>
              <c:f>'Pivot Table'!$N$2:$N$6</c:f>
              <c:numCache>
                <c:formatCode>General</c:formatCode>
                <c:ptCount val="4"/>
                <c:pt idx="0">
                  <c:v>17000</c:v>
                </c:pt>
                <c:pt idx="1">
                  <c:v>42500</c:v>
                </c:pt>
                <c:pt idx="2">
                  <c:v>23000</c:v>
                </c:pt>
                <c:pt idx="3">
                  <c:v>21000</c:v>
                </c:pt>
              </c:numCache>
            </c:numRef>
          </c:val>
          <c:extLst>
            <c:ext xmlns:c16="http://schemas.microsoft.com/office/drawing/2014/chart" uri="{C3380CC4-5D6E-409C-BE32-E72D297353CC}">
              <c16:uniqueId val="{00000000-1904-4186-8A93-42D88C5E197F}"/>
            </c:ext>
          </c:extLst>
        </c:ser>
        <c:dLbls>
          <c:dLblPos val="outEnd"/>
          <c:showLegendKey val="0"/>
          <c:showVal val="1"/>
          <c:showCatName val="0"/>
          <c:showSerName val="0"/>
          <c:showPercent val="0"/>
          <c:showBubbleSize val="0"/>
        </c:dLbls>
        <c:gapWidth val="219"/>
        <c:overlap val="-27"/>
        <c:axId val="692879471"/>
        <c:axId val="692880431"/>
      </c:barChart>
      <c:catAx>
        <c:axId val="69287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80431"/>
        <c:crosses val="autoZero"/>
        <c:auto val="1"/>
        <c:lblAlgn val="ctr"/>
        <c:lblOffset val="100"/>
        <c:noMultiLvlLbl val="0"/>
      </c:catAx>
      <c:valAx>
        <c:axId val="69288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79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[23-07-2026.xlsx]Pivot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by Product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Table'!$J$1</c:f>
              <c:strCache>
                <c:ptCount val="1"/>
                <c:pt idx="0">
                  <c:v>Total</c:v>
                </c:pt>
              </c:strCache>
            </c:strRef>
          </c:tx>
          <c:spPr>
            <a:solidFill>
              <a:srgbClr val="084F6A"/>
            </a:solidFill>
            <a:ln>
              <a:noFill/>
            </a:ln>
            <a:effectLst/>
          </c:spPr>
          <c:invertIfNegative val="0"/>
          <c:cat>
            <c:strRef>
              <c:f>'Pivot Table'!$I$2:$I$9</c:f>
              <c:strCache>
                <c:ptCount val="7"/>
                <c:pt idx="0">
                  <c:v>Bed</c:v>
                </c:pt>
                <c:pt idx="1">
                  <c:v>Chair</c:v>
                </c:pt>
                <c:pt idx="2">
                  <c:v>Laptop</c:v>
                </c:pt>
                <c:pt idx="3">
                  <c:v>Phone</c:v>
                </c:pt>
                <c:pt idx="4">
                  <c:v>Sofa</c:v>
                </c:pt>
                <c:pt idx="5">
                  <c:v>Table</c:v>
                </c:pt>
                <c:pt idx="6">
                  <c:v>TV</c:v>
                </c:pt>
              </c:strCache>
            </c:strRef>
          </c:cat>
          <c:val>
            <c:numRef>
              <c:f>'Pivot Table'!$J$2:$J$9</c:f>
              <c:numCache>
                <c:formatCode>General</c:formatCode>
                <c:ptCount val="7"/>
                <c:pt idx="0">
                  <c:v>2</c:v>
                </c:pt>
                <c:pt idx="1">
                  <c:v>13</c:v>
                </c:pt>
                <c:pt idx="2">
                  <c:v>5</c:v>
                </c:pt>
                <c:pt idx="3">
                  <c:v>11</c:v>
                </c:pt>
                <c:pt idx="4">
                  <c:v>2</c:v>
                </c:pt>
                <c:pt idx="5">
                  <c:v>3</c:v>
                </c:pt>
                <c:pt idx="6">
                  <c:v>4</c:v>
                </c:pt>
              </c:numCache>
            </c:numRef>
          </c:val>
          <c:extLst>
            <c:ext xmlns:c16="http://schemas.microsoft.com/office/drawing/2014/chart" uri="{C3380CC4-5D6E-409C-BE32-E72D297353CC}">
              <c16:uniqueId val="{00000000-BCCC-4F1C-A8AC-BE44591F9456}"/>
            </c:ext>
          </c:extLst>
        </c:ser>
        <c:dLbls>
          <c:showLegendKey val="0"/>
          <c:showVal val="0"/>
          <c:showCatName val="0"/>
          <c:showSerName val="0"/>
          <c:showPercent val="0"/>
          <c:showBubbleSize val="0"/>
        </c:dLbls>
        <c:gapWidth val="150"/>
        <c:overlap val="100"/>
        <c:axId val="692856431"/>
        <c:axId val="692873231"/>
      </c:barChart>
      <c:catAx>
        <c:axId val="69285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73231"/>
        <c:crosses val="autoZero"/>
        <c:auto val="1"/>
        <c:lblAlgn val="ctr"/>
        <c:lblOffset val="100"/>
        <c:noMultiLvlLbl val="0"/>
      </c:catAx>
      <c:valAx>
        <c:axId val="69287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56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99060</xdr:colOff>
      <xdr:row>0</xdr:row>
      <xdr:rowOff>0</xdr:rowOff>
    </xdr:from>
    <xdr:to>
      <xdr:col>22</xdr:col>
      <xdr:colOff>22860</xdr:colOff>
      <xdr:row>39</xdr:row>
      <xdr:rowOff>175260</xdr:rowOff>
    </xdr:to>
    <xdr:sp macro="" textlink="">
      <xdr:nvSpPr>
        <xdr:cNvPr id="2" name="Rectangle: Rounded Corners 1">
          <a:extLst>
            <a:ext uri="{FF2B5EF4-FFF2-40B4-BE49-F238E27FC236}">
              <a16:creationId xmlns:a16="http://schemas.microsoft.com/office/drawing/2014/main" id="{9A8CC13F-558E-A62C-7DDE-CE9F0200CC21}"/>
            </a:ext>
          </a:extLst>
        </xdr:cNvPr>
        <xdr:cNvSpPr/>
      </xdr:nvSpPr>
      <xdr:spPr>
        <a:xfrm>
          <a:off x="1318260" y="0"/>
          <a:ext cx="12115800" cy="7307580"/>
        </a:xfrm>
        <a:prstGeom prst="roundRect">
          <a:avLst>
            <a:gd name="adj" fmla="val 1352"/>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312420</xdr:colOff>
      <xdr:row>0</xdr:row>
      <xdr:rowOff>60960</xdr:rowOff>
    </xdr:from>
    <xdr:to>
      <xdr:col>21</xdr:col>
      <xdr:colOff>358140</xdr:colOff>
      <xdr:row>5</xdr:row>
      <xdr:rowOff>17760</xdr:rowOff>
    </xdr:to>
    <xdr:sp macro="" textlink="">
      <xdr:nvSpPr>
        <xdr:cNvPr id="4" name="Rectangle: Rounded Corners 3">
          <a:extLst>
            <a:ext uri="{FF2B5EF4-FFF2-40B4-BE49-F238E27FC236}">
              <a16:creationId xmlns:a16="http://schemas.microsoft.com/office/drawing/2014/main" id="{8E193B98-F694-4CBC-B956-9544A8162F0F}"/>
            </a:ext>
          </a:extLst>
        </xdr:cNvPr>
        <xdr:cNvSpPr/>
      </xdr:nvSpPr>
      <xdr:spPr>
        <a:xfrm>
          <a:off x="1531620" y="60960"/>
          <a:ext cx="11628120" cy="871200"/>
        </a:xfrm>
        <a:prstGeom prst="roundRect">
          <a:avLst/>
        </a:prstGeom>
        <a:gradFill>
          <a:gsLst>
            <a:gs pos="2000">
              <a:srgbClr val="084F6A"/>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297180</xdr:colOff>
      <xdr:row>5</xdr:row>
      <xdr:rowOff>175260</xdr:rowOff>
    </xdr:from>
    <xdr:to>
      <xdr:col>5</xdr:col>
      <xdr:colOff>182880</xdr:colOff>
      <xdr:row>10</xdr:row>
      <xdr:rowOff>144780</xdr:rowOff>
    </xdr:to>
    <xdr:sp macro="" textlink="">
      <xdr:nvSpPr>
        <xdr:cNvPr id="7" name="Rectangle: Rounded Corners 6">
          <a:extLst>
            <a:ext uri="{FF2B5EF4-FFF2-40B4-BE49-F238E27FC236}">
              <a16:creationId xmlns:a16="http://schemas.microsoft.com/office/drawing/2014/main" id="{42FCE175-625E-9031-6978-86CA1FF7B7B4}"/>
            </a:ext>
          </a:extLst>
        </xdr:cNvPr>
        <xdr:cNvSpPr/>
      </xdr:nvSpPr>
      <xdr:spPr>
        <a:xfrm>
          <a:off x="1516380" y="1089660"/>
          <a:ext cx="1714500" cy="883920"/>
        </a:xfrm>
        <a:prstGeom prst="roundRect">
          <a:avLst/>
        </a:prstGeom>
        <a:gradFill>
          <a:gsLst>
            <a:gs pos="2000">
              <a:srgbClr val="F0F8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b="1">
              <a:solidFill>
                <a:schemeClr val="tx1"/>
              </a:solidFill>
            </a:rPr>
            <a:t>TOTAL SALES</a:t>
          </a:r>
        </a:p>
      </xdr:txBody>
    </xdr:sp>
    <xdr:clientData/>
  </xdr:twoCellAnchor>
  <xdr:twoCellAnchor>
    <xdr:from>
      <xdr:col>8</xdr:col>
      <xdr:colOff>525780</xdr:colOff>
      <xdr:row>5</xdr:row>
      <xdr:rowOff>152400</xdr:rowOff>
    </xdr:from>
    <xdr:to>
      <xdr:col>11</xdr:col>
      <xdr:colOff>411480</xdr:colOff>
      <xdr:row>10</xdr:row>
      <xdr:rowOff>123600</xdr:rowOff>
    </xdr:to>
    <xdr:sp macro="" textlink="">
      <xdr:nvSpPr>
        <xdr:cNvPr id="8" name="Rectangle: Rounded Corners 7">
          <a:extLst>
            <a:ext uri="{FF2B5EF4-FFF2-40B4-BE49-F238E27FC236}">
              <a16:creationId xmlns:a16="http://schemas.microsoft.com/office/drawing/2014/main" id="{C848FFAA-0F29-49F3-AFAA-2051529904D9}"/>
            </a:ext>
          </a:extLst>
        </xdr:cNvPr>
        <xdr:cNvSpPr/>
      </xdr:nvSpPr>
      <xdr:spPr>
        <a:xfrm>
          <a:off x="5402580" y="1066800"/>
          <a:ext cx="1714500" cy="885600"/>
        </a:xfrm>
        <a:prstGeom prst="roundRect">
          <a:avLst/>
        </a:prstGeom>
        <a:gradFill>
          <a:gsLst>
            <a:gs pos="2000">
              <a:srgbClr val="F0F8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b="1">
              <a:solidFill>
                <a:schemeClr val="tx1">
                  <a:lumMod val="95000"/>
                  <a:lumOff val="5000"/>
                </a:schemeClr>
              </a:solidFill>
            </a:rPr>
            <a:t>TOTAL</a:t>
          </a:r>
          <a:r>
            <a:rPr lang="en-IN" sz="1100" b="1" baseline="0">
              <a:solidFill>
                <a:schemeClr val="tx1">
                  <a:lumMod val="95000"/>
                  <a:lumOff val="5000"/>
                </a:schemeClr>
              </a:solidFill>
            </a:rPr>
            <a:t> ORDERS</a:t>
          </a:r>
          <a:endParaRPr lang="en-IN" sz="1100" b="1">
            <a:solidFill>
              <a:schemeClr val="tx1">
                <a:lumMod val="95000"/>
                <a:lumOff val="5000"/>
              </a:schemeClr>
            </a:solidFill>
          </a:endParaRPr>
        </a:p>
      </xdr:txBody>
    </xdr:sp>
    <xdr:clientData/>
  </xdr:twoCellAnchor>
  <xdr:twoCellAnchor>
    <xdr:from>
      <xdr:col>4</xdr:col>
      <xdr:colOff>335280</xdr:colOff>
      <xdr:row>0</xdr:row>
      <xdr:rowOff>167640</xdr:rowOff>
    </xdr:from>
    <xdr:to>
      <xdr:col>15</xdr:col>
      <xdr:colOff>335280</xdr:colOff>
      <xdr:row>4</xdr:row>
      <xdr:rowOff>15240</xdr:rowOff>
    </xdr:to>
    <xdr:sp macro="" textlink="">
      <xdr:nvSpPr>
        <xdr:cNvPr id="9" name="TextBox 8">
          <a:extLst>
            <a:ext uri="{FF2B5EF4-FFF2-40B4-BE49-F238E27FC236}">
              <a16:creationId xmlns:a16="http://schemas.microsoft.com/office/drawing/2014/main" id="{93825053-542E-6281-FBEB-29215B30AF7A}"/>
            </a:ext>
          </a:extLst>
        </xdr:cNvPr>
        <xdr:cNvSpPr txBox="1"/>
      </xdr:nvSpPr>
      <xdr:spPr>
        <a:xfrm>
          <a:off x="2773680" y="167640"/>
          <a:ext cx="670560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i="0">
              <a:solidFill>
                <a:schemeClr val="bg1"/>
              </a:solidFill>
            </a:rPr>
            <a:t>SALES PERFORMANCE DASHBOARD</a:t>
          </a:r>
        </a:p>
      </xdr:txBody>
    </xdr:sp>
    <xdr:clientData/>
  </xdr:twoCellAnchor>
  <xdr:twoCellAnchor editAs="oneCell">
    <xdr:from>
      <xdr:col>2</xdr:col>
      <xdr:colOff>601980</xdr:colOff>
      <xdr:row>0</xdr:row>
      <xdr:rowOff>121920</xdr:rowOff>
    </xdr:from>
    <xdr:to>
      <xdr:col>4</xdr:col>
      <xdr:colOff>297180</xdr:colOff>
      <xdr:row>4</xdr:row>
      <xdr:rowOff>137160</xdr:rowOff>
    </xdr:to>
    <xdr:pic>
      <xdr:nvPicPr>
        <xdr:cNvPr id="11" name="Graphic 10" descr="Bar graph with upward trend with solid fill">
          <a:extLst>
            <a:ext uri="{FF2B5EF4-FFF2-40B4-BE49-F238E27FC236}">
              <a16:creationId xmlns:a16="http://schemas.microsoft.com/office/drawing/2014/main" id="{9FF2F7FD-71A3-F707-E532-7DCA3FBC5D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1180" y="121920"/>
          <a:ext cx="914400" cy="746760"/>
        </a:xfrm>
        <a:prstGeom prst="rect">
          <a:avLst/>
        </a:prstGeom>
      </xdr:spPr>
    </xdr:pic>
    <xdr:clientData/>
  </xdr:twoCellAnchor>
  <xdr:twoCellAnchor editAs="oneCell">
    <xdr:from>
      <xdr:col>2</xdr:col>
      <xdr:colOff>312420</xdr:colOff>
      <xdr:row>6</xdr:row>
      <xdr:rowOff>160020</xdr:rowOff>
    </xdr:from>
    <xdr:to>
      <xdr:col>3</xdr:col>
      <xdr:colOff>281940</xdr:colOff>
      <xdr:row>9</xdr:row>
      <xdr:rowOff>129540</xdr:rowOff>
    </xdr:to>
    <xdr:pic>
      <xdr:nvPicPr>
        <xdr:cNvPr id="13" name="Graphic 12" descr="Coins with solid fill">
          <a:extLst>
            <a:ext uri="{FF2B5EF4-FFF2-40B4-BE49-F238E27FC236}">
              <a16:creationId xmlns:a16="http://schemas.microsoft.com/office/drawing/2014/main" id="{FF5D009E-B181-7BC2-8E55-4556A994B03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31620" y="1257300"/>
          <a:ext cx="579120" cy="518160"/>
        </a:xfrm>
        <a:prstGeom prst="rect">
          <a:avLst/>
        </a:prstGeom>
      </xdr:spPr>
    </xdr:pic>
    <xdr:clientData/>
  </xdr:twoCellAnchor>
  <xdr:twoCellAnchor>
    <xdr:from>
      <xdr:col>5</xdr:col>
      <xdr:colOff>419100</xdr:colOff>
      <xdr:row>5</xdr:row>
      <xdr:rowOff>167640</xdr:rowOff>
    </xdr:from>
    <xdr:to>
      <xdr:col>8</xdr:col>
      <xdr:colOff>304800</xdr:colOff>
      <xdr:row>10</xdr:row>
      <xdr:rowOff>138840</xdr:rowOff>
    </xdr:to>
    <xdr:sp macro="" textlink="">
      <xdr:nvSpPr>
        <xdr:cNvPr id="14" name="Rectangle: Rounded Corners 13">
          <a:extLst>
            <a:ext uri="{FF2B5EF4-FFF2-40B4-BE49-F238E27FC236}">
              <a16:creationId xmlns:a16="http://schemas.microsoft.com/office/drawing/2014/main" id="{787EB66B-90E1-4FC3-BCE3-E3173014D9C2}"/>
            </a:ext>
          </a:extLst>
        </xdr:cNvPr>
        <xdr:cNvSpPr/>
      </xdr:nvSpPr>
      <xdr:spPr>
        <a:xfrm>
          <a:off x="3467100" y="1082040"/>
          <a:ext cx="1714500" cy="885600"/>
        </a:xfrm>
        <a:prstGeom prst="roundRect">
          <a:avLst/>
        </a:prstGeom>
        <a:gradFill>
          <a:gsLst>
            <a:gs pos="2000">
              <a:srgbClr val="F0F8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b="1">
              <a:solidFill>
                <a:schemeClr val="tx1"/>
              </a:solidFill>
            </a:rPr>
            <a:t>TOTAL PROFIT</a:t>
          </a:r>
        </a:p>
      </xdr:txBody>
    </xdr:sp>
    <xdr:clientData/>
  </xdr:twoCellAnchor>
  <xdr:twoCellAnchor>
    <xdr:from>
      <xdr:col>12</xdr:col>
      <xdr:colOff>45720</xdr:colOff>
      <xdr:row>5</xdr:row>
      <xdr:rowOff>152400</xdr:rowOff>
    </xdr:from>
    <xdr:to>
      <xdr:col>14</xdr:col>
      <xdr:colOff>541020</xdr:colOff>
      <xdr:row>10</xdr:row>
      <xdr:rowOff>123600</xdr:rowOff>
    </xdr:to>
    <xdr:sp macro="" textlink="">
      <xdr:nvSpPr>
        <xdr:cNvPr id="15" name="Rectangle: Rounded Corners 14">
          <a:extLst>
            <a:ext uri="{FF2B5EF4-FFF2-40B4-BE49-F238E27FC236}">
              <a16:creationId xmlns:a16="http://schemas.microsoft.com/office/drawing/2014/main" id="{059BE8BB-0762-4D36-A6C8-EA950E69CA0E}"/>
            </a:ext>
          </a:extLst>
        </xdr:cNvPr>
        <xdr:cNvSpPr/>
      </xdr:nvSpPr>
      <xdr:spPr>
        <a:xfrm>
          <a:off x="7360920" y="1066800"/>
          <a:ext cx="1714500" cy="885600"/>
        </a:xfrm>
        <a:prstGeom prst="roundRect">
          <a:avLst/>
        </a:prstGeom>
        <a:gradFill>
          <a:gsLst>
            <a:gs pos="2000">
              <a:srgbClr val="F0F8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b="1">
              <a:solidFill>
                <a:schemeClr val="tx1">
                  <a:lumMod val="95000"/>
                  <a:lumOff val="5000"/>
                </a:schemeClr>
              </a:solidFill>
            </a:rPr>
            <a:t>TOTAL</a:t>
          </a:r>
          <a:r>
            <a:rPr lang="en-IN" sz="1100" b="1" baseline="0">
              <a:solidFill>
                <a:schemeClr val="tx1">
                  <a:lumMod val="95000"/>
                  <a:lumOff val="5000"/>
                </a:schemeClr>
              </a:solidFill>
            </a:rPr>
            <a:t> QUANTITY</a:t>
          </a:r>
          <a:endParaRPr lang="en-IN" sz="1100" b="1">
            <a:solidFill>
              <a:schemeClr val="tx1">
                <a:lumMod val="95000"/>
                <a:lumOff val="5000"/>
              </a:schemeClr>
            </a:solidFill>
          </a:endParaRPr>
        </a:p>
      </xdr:txBody>
    </xdr:sp>
    <xdr:clientData/>
  </xdr:twoCellAnchor>
  <xdr:twoCellAnchor>
    <xdr:from>
      <xdr:col>3</xdr:col>
      <xdr:colOff>281940</xdr:colOff>
      <xdr:row>7</xdr:row>
      <xdr:rowOff>99060</xdr:rowOff>
    </xdr:from>
    <xdr:to>
      <xdr:col>5</xdr:col>
      <xdr:colOff>144780</xdr:colOff>
      <xdr:row>9</xdr:row>
      <xdr:rowOff>114300</xdr:rowOff>
    </xdr:to>
    <xdr:sp macro="" textlink="'Pivot Table'!Q6">
      <xdr:nvSpPr>
        <xdr:cNvPr id="6" name="TextBox 5">
          <a:extLst>
            <a:ext uri="{FF2B5EF4-FFF2-40B4-BE49-F238E27FC236}">
              <a16:creationId xmlns:a16="http://schemas.microsoft.com/office/drawing/2014/main" id="{873B233D-B61B-C8C2-F31D-60FE5CFF1091}"/>
            </a:ext>
          </a:extLst>
        </xdr:cNvPr>
        <xdr:cNvSpPr txBox="1"/>
      </xdr:nvSpPr>
      <xdr:spPr>
        <a:xfrm>
          <a:off x="2110740" y="1379220"/>
          <a:ext cx="10820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69215A-A53A-426C-A7D1-BDFB804E5EC0}" type="TxLink">
            <a:rPr lang="en-US" sz="1600" b="1" i="0" u="none" strike="noStrike">
              <a:solidFill>
                <a:srgbClr val="000000"/>
              </a:solidFill>
              <a:latin typeface="Calibri"/>
              <a:ea typeface="Calibri"/>
              <a:cs typeface="Calibri"/>
            </a:rPr>
            <a:pPr algn="ctr"/>
            <a:t>₹ 4,11,000</a:t>
          </a:fld>
          <a:endParaRPr lang="en-IN" sz="1600" b="1"/>
        </a:p>
      </xdr:txBody>
    </xdr:sp>
    <xdr:clientData/>
  </xdr:twoCellAnchor>
  <xdr:twoCellAnchor>
    <xdr:from>
      <xdr:col>2</xdr:col>
      <xdr:colOff>320040</xdr:colOff>
      <xdr:row>11</xdr:row>
      <xdr:rowOff>30480</xdr:rowOff>
    </xdr:from>
    <xdr:to>
      <xdr:col>8</xdr:col>
      <xdr:colOff>381000</xdr:colOff>
      <xdr:row>24</xdr:row>
      <xdr:rowOff>22860</xdr:rowOff>
    </xdr:to>
    <xdr:sp macro="" textlink="">
      <xdr:nvSpPr>
        <xdr:cNvPr id="10" name="Rectangle: Rounded Corners 9">
          <a:extLst>
            <a:ext uri="{FF2B5EF4-FFF2-40B4-BE49-F238E27FC236}">
              <a16:creationId xmlns:a16="http://schemas.microsoft.com/office/drawing/2014/main" id="{87C796E3-B054-44B3-A197-AA03F89597A0}"/>
            </a:ext>
          </a:extLst>
        </xdr:cNvPr>
        <xdr:cNvSpPr/>
      </xdr:nvSpPr>
      <xdr:spPr>
        <a:xfrm>
          <a:off x="1539240" y="2042160"/>
          <a:ext cx="3718560" cy="2369820"/>
        </a:xfrm>
        <a:prstGeom prst="roundRect">
          <a:avLst>
            <a:gd name="adj" fmla="val 5091"/>
          </a:avLst>
        </a:prstGeom>
        <a:gradFill>
          <a:gsLst>
            <a:gs pos="2000">
              <a:srgbClr val="F0F8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548640</xdr:colOff>
      <xdr:row>11</xdr:row>
      <xdr:rowOff>15240</xdr:rowOff>
    </xdr:from>
    <xdr:to>
      <xdr:col>15</xdr:col>
      <xdr:colOff>0</xdr:colOff>
      <xdr:row>24</xdr:row>
      <xdr:rowOff>7620</xdr:rowOff>
    </xdr:to>
    <xdr:sp macro="" textlink="">
      <xdr:nvSpPr>
        <xdr:cNvPr id="12" name="Rectangle: Rounded Corners 11">
          <a:extLst>
            <a:ext uri="{FF2B5EF4-FFF2-40B4-BE49-F238E27FC236}">
              <a16:creationId xmlns:a16="http://schemas.microsoft.com/office/drawing/2014/main" id="{94A17ACB-1AC9-4BDA-8BE2-E1E58E8141FD}"/>
            </a:ext>
          </a:extLst>
        </xdr:cNvPr>
        <xdr:cNvSpPr/>
      </xdr:nvSpPr>
      <xdr:spPr>
        <a:xfrm>
          <a:off x="5425440" y="2026920"/>
          <a:ext cx="3718560" cy="2369820"/>
        </a:xfrm>
        <a:prstGeom prst="roundRect">
          <a:avLst>
            <a:gd name="adj" fmla="val 3805"/>
          </a:avLst>
        </a:prstGeom>
        <a:gradFill>
          <a:gsLst>
            <a:gs pos="2000">
              <a:srgbClr val="F0F8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487680</xdr:colOff>
      <xdr:row>6</xdr:row>
      <xdr:rowOff>129540</xdr:rowOff>
    </xdr:from>
    <xdr:to>
      <xdr:col>6</xdr:col>
      <xdr:colOff>411480</xdr:colOff>
      <xdr:row>9</xdr:row>
      <xdr:rowOff>137160</xdr:rowOff>
    </xdr:to>
    <xdr:pic>
      <xdr:nvPicPr>
        <xdr:cNvPr id="21" name="Graphic 20" descr="Money with solid fill">
          <a:extLst>
            <a:ext uri="{FF2B5EF4-FFF2-40B4-BE49-F238E27FC236}">
              <a16:creationId xmlns:a16="http://schemas.microsoft.com/office/drawing/2014/main" id="{DEC49F37-1FDE-1F31-D946-9086879A180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35680" y="1226820"/>
          <a:ext cx="533400" cy="556260"/>
        </a:xfrm>
        <a:prstGeom prst="rect">
          <a:avLst/>
        </a:prstGeom>
      </xdr:spPr>
    </xdr:pic>
    <xdr:clientData/>
  </xdr:twoCellAnchor>
  <xdr:twoCellAnchor>
    <xdr:from>
      <xdr:col>6</xdr:col>
      <xdr:colOff>419100</xdr:colOff>
      <xdr:row>7</xdr:row>
      <xdr:rowOff>129540</xdr:rowOff>
    </xdr:from>
    <xdr:to>
      <xdr:col>8</xdr:col>
      <xdr:colOff>289560</xdr:colOff>
      <xdr:row>9</xdr:row>
      <xdr:rowOff>152400</xdr:rowOff>
    </xdr:to>
    <xdr:sp macro="" textlink="'Pivot Table'!M8">
      <xdr:nvSpPr>
        <xdr:cNvPr id="22" name="TextBox 21">
          <a:extLst>
            <a:ext uri="{FF2B5EF4-FFF2-40B4-BE49-F238E27FC236}">
              <a16:creationId xmlns:a16="http://schemas.microsoft.com/office/drawing/2014/main" id="{A29C854F-FF54-F1CB-218D-8B0B0D8010D2}"/>
            </a:ext>
          </a:extLst>
        </xdr:cNvPr>
        <xdr:cNvSpPr txBox="1"/>
      </xdr:nvSpPr>
      <xdr:spPr>
        <a:xfrm>
          <a:off x="4076700" y="1409700"/>
          <a:ext cx="1089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837808-F378-4D5E-AD24-BC252ED2663A}" type="TxLink">
            <a:rPr lang="en-US" sz="1600" b="1" i="0" u="none" strike="noStrike">
              <a:solidFill>
                <a:srgbClr val="000000"/>
              </a:solidFill>
              <a:latin typeface="Calibri"/>
              <a:ea typeface="Calibri"/>
              <a:cs typeface="Calibri"/>
            </a:rPr>
            <a:pPr algn="ctr"/>
            <a:t>₹ 1,03,500</a:t>
          </a:fld>
          <a:endParaRPr lang="en-IN" sz="1600" b="1"/>
        </a:p>
      </xdr:txBody>
    </xdr:sp>
    <xdr:clientData/>
  </xdr:twoCellAnchor>
  <xdr:twoCellAnchor editAs="oneCell">
    <xdr:from>
      <xdr:col>8</xdr:col>
      <xdr:colOff>586740</xdr:colOff>
      <xdr:row>7</xdr:row>
      <xdr:rowOff>0</xdr:rowOff>
    </xdr:from>
    <xdr:to>
      <xdr:col>9</xdr:col>
      <xdr:colOff>541020</xdr:colOff>
      <xdr:row>9</xdr:row>
      <xdr:rowOff>83820</xdr:rowOff>
    </xdr:to>
    <xdr:pic>
      <xdr:nvPicPr>
        <xdr:cNvPr id="24" name="Graphic 23" descr="Shopping cart with solid fill">
          <a:extLst>
            <a:ext uri="{FF2B5EF4-FFF2-40B4-BE49-F238E27FC236}">
              <a16:creationId xmlns:a16="http://schemas.microsoft.com/office/drawing/2014/main" id="{2EDBB27F-1419-52F9-FC73-67AE749DC53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63540" y="1280160"/>
          <a:ext cx="563880" cy="449580"/>
        </a:xfrm>
        <a:prstGeom prst="rect">
          <a:avLst/>
        </a:prstGeom>
      </xdr:spPr>
    </xdr:pic>
    <xdr:clientData/>
  </xdr:twoCellAnchor>
  <xdr:twoCellAnchor>
    <xdr:from>
      <xdr:col>9</xdr:col>
      <xdr:colOff>525780</xdr:colOff>
      <xdr:row>7</xdr:row>
      <xdr:rowOff>99060</xdr:rowOff>
    </xdr:from>
    <xdr:to>
      <xdr:col>11</xdr:col>
      <xdr:colOff>358140</xdr:colOff>
      <xdr:row>9</xdr:row>
      <xdr:rowOff>144780</xdr:rowOff>
    </xdr:to>
    <xdr:sp macro="" textlink="'Pivot Table'!F9">
      <xdr:nvSpPr>
        <xdr:cNvPr id="25" name="TextBox 24">
          <a:extLst>
            <a:ext uri="{FF2B5EF4-FFF2-40B4-BE49-F238E27FC236}">
              <a16:creationId xmlns:a16="http://schemas.microsoft.com/office/drawing/2014/main" id="{829CEC73-73E7-A86F-FE7A-4C9EE5B15DA7}"/>
            </a:ext>
          </a:extLst>
        </xdr:cNvPr>
        <xdr:cNvSpPr txBox="1"/>
      </xdr:nvSpPr>
      <xdr:spPr>
        <a:xfrm>
          <a:off x="6012180" y="1379220"/>
          <a:ext cx="10515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5B7173-D312-4F38-93DA-52446E75560B}" type="TxLink">
            <a:rPr lang="en-US" sz="1600" b="1" i="0" u="none" strike="noStrike">
              <a:solidFill>
                <a:schemeClr val="tx1">
                  <a:lumMod val="95000"/>
                  <a:lumOff val="5000"/>
                </a:schemeClr>
              </a:solidFill>
              <a:latin typeface="Calibri"/>
              <a:ea typeface="Calibri"/>
              <a:cs typeface="Calibri"/>
            </a:rPr>
            <a:pPr algn="ctr"/>
            <a:t>10</a:t>
          </a:fld>
          <a:endParaRPr lang="en-IN" sz="1600" b="1">
            <a:solidFill>
              <a:schemeClr val="tx1">
                <a:lumMod val="95000"/>
                <a:lumOff val="5000"/>
              </a:schemeClr>
            </a:solidFill>
          </a:endParaRPr>
        </a:p>
      </xdr:txBody>
    </xdr:sp>
    <xdr:clientData/>
  </xdr:twoCellAnchor>
  <xdr:twoCellAnchor editAs="oneCell">
    <xdr:from>
      <xdr:col>12</xdr:col>
      <xdr:colOff>68580</xdr:colOff>
      <xdr:row>6</xdr:row>
      <xdr:rowOff>114300</xdr:rowOff>
    </xdr:from>
    <xdr:to>
      <xdr:col>12</xdr:col>
      <xdr:colOff>586740</xdr:colOff>
      <xdr:row>9</xdr:row>
      <xdr:rowOff>76200</xdr:rowOff>
    </xdr:to>
    <xdr:pic>
      <xdr:nvPicPr>
        <xdr:cNvPr id="27" name="Graphic 26" descr="Database with solid fill">
          <a:extLst>
            <a:ext uri="{FF2B5EF4-FFF2-40B4-BE49-F238E27FC236}">
              <a16:creationId xmlns:a16="http://schemas.microsoft.com/office/drawing/2014/main" id="{2316E738-8EC9-4BFC-5337-0F2FBF20364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383780" y="1211580"/>
          <a:ext cx="518160" cy="510540"/>
        </a:xfrm>
        <a:prstGeom prst="rect">
          <a:avLst/>
        </a:prstGeom>
      </xdr:spPr>
    </xdr:pic>
    <xdr:clientData/>
  </xdr:twoCellAnchor>
  <xdr:twoCellAnchor>
    <xdr:from>
      <xdr:col>12</xdr:col>
      <xdr:colOff>571500</xdr:colOff>
      <xdr:row>7</xdr:row>
      <xdr:rowOff>83820</xdr:rowOff>
    </xdr:from>
    <xdr:to>
      <xdr:col>14</xdr:col>
      <xdr:colOff>449580</xdr:colOff>
      <xdr:row>9</xdr:row>
      <xdr:rowOff>60960</xdr:rowOff>
    </xdr:to>
    <xdr:sp macro="" textlink="'Pivot Table'!I11">
      <xdr:nvSpPr>
        <xdr:cNvPr id="28" name="TextBox 27">
          <a:extLst>
            <a:ext uri="{FF2B5EF4-FFF2-40B4-BE49-F238E27FC236}">
              <a16:creationId xmlns:a16="http://schemas.microsoft.com/office/drawing/2014/main" id="{303C563F-7869-11AF-E629-EEB0401E8F65}"/>
            </a:ext>
          </a:extLst>
        </xdr:cNvPr>
        <xdr:cNvSpPr txBox="1"/>
      </xdr:nvSpPr>
      <xdr:spPr>
        <a:xfrm>
          <a:off x="7886700" y="1363980"/>
          <a:ext cx="10972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69C580-308C-43B0-B77E-9CF4110B8DDF}" type="TxLink">
            <a:rPr lang="en-US" sz="1600" b="1" i="0" u="none" strike="noStrike">
              <a:solidFill>
                <a:srgbClr val="000000"/>
              </a:solidFill>
              <a:latin typeface="Calibri"/>
              <a:ea typeface="Calibri"/>
              <a:cs typeface="Calibri"/>
            </a:rPr>
            <a:pPr algn="ctr"/>
            <a:t>40</a:t>
          </a:fld>
          <a:endParaRPr lang="en-IN" sz="1600" b="1"/>
        </a:p>
      </xdr:txBody>
    </xdr:sp>
    <xdr:clientData/>
  </xdr:twoCellAnchor>
  <xdr:twoCellAnchor>
    <xdr:from>
      <xdr:col>2</xdr:col>
      <xdr:colOff>365761</xdr:colOff>
      <xdr:row>11</xdr:row>
      <xdr:rowOff>91440</xdr:rowOff>
    </xdr:from>
    <xdr:to>
      <xdr:col>8</xdr:col>
      <xdr:colOff>297180</xdr:colOff>
      <xdr:row>23</xdr:row>
      <xdr:rowOff>91440</xdr:rowOff>
    </xdr:to>
    <xdr:graphicFrame macro="">
      <xdr:nvGraphicFramePr>
        <xdr:cNvPr id="29" name="Chart 28">
          <a:extLst>
            <a:ext uri="{FF2B5EF4-FFF2-40B4-BE49-F238E27FC236}">
              <a16:creationId xmlns:a16="http://schemas.microsoft.com/office/drawing/2014/main" id="{BD9D36EC-3A64-4BE7-8548-6A92D9AAA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518161</xdr:colOff>
      <xdr:row>11</xdr:row>
      <xdr:rowOff>68581</xdr:rowOff>
    </xdr:from>
    <xdr:to>
      <xdr:col>14</xdr:col>
      <xdr:colOff>441961</xdr:colOff>
      <xdr:row>23</xdr:row>
      <xdr:rowOff>91440</xdr:rowOff>
    </xdr:to>
    <xdr:graphicFrame macro="">
      <xdr:nvGraphicFramePr>
        <xdr:cNvPr id="30" name="Chart 29">
          <a:extLst>
            <a:ext uri="{FF2B5EF4-FFF2-40B4-BE49-F238E27FC236}">
              <a16:creationId xmlns:a16="http://schemas.microsoft.com/office/drawing/2014/main" id="{8CFF6168-1416-45BE-8119-B2A8392B4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320040</xdr:colOff>
      <xdr:row>24</xdr:row>
      <xdr:rowOff>99060</xdr:rowOff>
    </xdr:from>
    <xdr:to>
      <xdr:col>8</xdr:col>
      <xdr:colOff>381000</xdr:colOff>
      <xdr:row>38</xdr:row>
      <xdr:rowOff>129540</xdr:rowOff>
    </xdr:to>
    <xdr:sp macro="" textlink="">
      <xdr:nvSpPr>
        <xdr:cNvPr id="31" name="Rectangle: Rounded Corners 30">
          <a:extLst>
            <a:ext uri="{FF2B5EF4-FFF2-40B4-BE49-F238E27FC236}">
              <a16:creationId xmlns:a16="http://schemas.microsoft.com/office/drawing/2014/main" id="{BFC2FE01-0EFC-43C6-ADD3-489587776851}"/>
            </a:ext>
          </a:extLst>
        </xdr:cNvPr>
        <xdr:cNvSpPr/>
      </xdr:nvSpPr>
      <xdr:spPr>
        <a:xfrm>
          <a:off x="1539240" y="4488180"/>
          <a:ext cx="3718560" cy="2590800"/>
        </a:xfrm>
        <a:prstGeom prst="roundRect">
          <a:avLst>
            <a:gd name="adj" fmla="val 3805"/>
          </a:avLst>
        </a:prstGeom>
        <a:gradFill>
          <a:gsLst>
            <a:gs pos="2000">
              <a:srgbClr val="F0F8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571500</xdr:colOff>
      <xdr:row>24</xdr:row>
      <xdr:rowOff>91440</xdr:rowOff>
    </xdr:from>
    <xdr:to>
      <xdr:col>15</xdr:col>
      <xdr:colOff>45720</xdr:colOff>
      <xdr:row>38</xdr:row>
      <xdr:rowOff>121920</xdr:rowOff>
    </xdr:to>
    <xdr:sp macro="" textlink="">
      <xdr:nvSpPr>
        <xdr:cNvPr id="32" name="Rectangle: Rounded Corners 31">
          <a:extLst>
            <a:ext uri="{FF2B5EF4-FFF2-40B4-BE49-F238E27FC236}">
              <a16:creationId xmlns:a16="http://schemas.microsoft.com/office/drawing/2014/main" id="{F50837B8-DD2D-4D4D-879A-406D306CCEE6}"/>
            </a:ext>
          </a:extLst>
        </xdr:cNvPr>
        <xdr:cNvSpPr/>
      </xdr:nvSpPr>
      <xdr:spPr>
        <a:xfrm>
          <a:off x="5448300" y="4480560"/>
          <a:ext cx="3741420" cy="2590800"/>
        </a:xfrm>
        <a:prstGeom prst="roundRect">
          <a:avLst>
            <a:gd name="adj" fmla="val 3805"/>
          </a:avLst>
        </a:prstGeom>
        <a:gradFill>
          <a:gsLst>
            <a:gs pos="2000">
              <a:srgbClr val="F0F8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198120</xdr:colOff>
      <xdr:row>24</xdr:row>
      <xdr:rowOff>68580</xdr:rowOff>
    </xdr:from>
    <xdr:to>
      <xdr:col>21</xdr:col>
      <xdr:colOff>350520</xdr:colOff>
      <xdr:row>38</xdr:row>
      <xdr:rowOff>106680</xdr:rowOff>
    </xdr:to>
    <xdr:sp macro="" textlink="">
      <xdr:nvSpPr>
        <xdr:cNvPr id="33" name="Rectangle: Rounded Corners 32">
          <a:extLst>
            <a:ext uri="{FF2B5EF4-FFF2-40B4-BE49-F238E27FC236}">
              <a16:creationId xmlns:a16="http://schemas.microsoft.com/office/drawing/2014/main" id="{AE55B4E0-D08E-48FD-941B-786DA2154FCF}"/>
            </a:ext>
          </a:extLst>
        </xdr:cNvPr>
        <xdr:cNvSpPr/>
      </xdr:nvSpPr>
      <xdr:spPr>
        <a:xfrm>
          <a:off x="9342120" y="4457700"/>
          <a:ext cx="3810000" cy="2598420"/>
        </a:xfrm>
        <a:prstGeom prst="roundRect">
          <a:avLst>
            <a:gd name="adj" fmla="val 3805"/>
          </a:avLst>
        </a:prstGeom>
        <a:gradFill>
          <a:gsLst>
            <a:gs pos="2000">
              <a:srgbClr val="F0F8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373381</xdr:colOff>
      <xdr:row>24</xdr:row>
      <xdr:rowOff>160020</xdr:rowOff>
    </xdr:from>
    <xdr:to>
      <xdr:col>8</xdr:col>
      <xdr:colOff>297181</xdr:colOff>
      <xdr:row>38</xdr:row>
      <xdr:rowOff>0</xdr:rowOff>
    </xdr:to>
    <xdr:graphicFrame macro="">
      <xdr:nvGraphicFramePr>
        <xdr:cNvPr id="34" name="Chart 33">
          <a:extLst>
            <a:ext uri="{FF2B5EF4-FFF2-40B4-BE49-F238E27FC236}">
              <a16:creationId xmlns:a16="http://schemas.microsoft.com/office/drawing/2014/main" id="{6C964ED9-8D85-4B1D-8F9E-6AE016871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22860</xdr:colOff>
      <xdr:row>24</xdr:row>
      <xdr:rowOff>137160</xdr:rowOff>
    </xdr:from>
    <xdr:to>
      <xdr:col>15</xdr:col>
      <xdr:colOff>15241</xdr:colOff>
      <xdr:row>37</xdr:row>
      <xdr:rowOff>167640</xdr:rowOff>
    </xdr:to>
    <xdr:graphicFrame macro="">
      <xdr:nvGraphicFramePr>
        <xdr:cNvPr id="35" name="Chart 34">
          <a:extLst>
            <a:ext uri="{FF2B5EF4-FFF2-40B4-BE49-F238E27FC236}">
              <a16:creationId xmlns:a16="http://schemas.microsoft.com/office/drawing/2014/main" id="{DFDFC714-1042-44BA-B70A-13DD21879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259081</xdr:colOff>
      <xdr:row>24</xdr:row>
      <xdr:rowOff>114300</xdr:rowOff>
    </xdr:from>
    <xdr:to>
      <xdr:col>21</xdr:col>
      <xdr:colOff>289560</xdr:colOff>
      <xdr:row>37</xdr:row>
      <xdr:rowOff>137236</xdr:rowOff>
    </xdr:to>
    <xdr:graphicFrame macro="">
      <xdr:nvGraphicFramePr>
        <xdr:cNvPr id="36" name="Chart 35">
          <a:extLst>
            <a:ext uri="{FF2B5EF4-FFF2-40B4-BE49-F238E27FC236}">
              <a16:creationId xmlns:a16="http://schemas.microsoft.com/office/drawing/2014/main" id="{E870A46F-E3A4-4277-8AA6-445E286FE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137160</xdr:colOff>
      <xdr:row>5</xdr:row>
      <xdr:rowOff>152400</xdr:rowOff>
    </xdr:from>
    <xdr:to>
      <xdr:col>18</xdr:col>
      <xdr:colOff>220980</xdr:colOff>
      <xdr:row>16</xdr:row>
      <xdr:rowOff>60960</xdr:rowOff>
    </xdr:to>
    <xdr:sp macro="" textlink="">
      <xdr:nvSpPr>
        <xdr:cNvPr id="39" name="Rectangle: Rounded Corners 38">
          <a:extLst>
            <a:ext uri="{FF2B5EF4-FFF2-40B4-BE49-F238E27FC236}">
              <a16:creationId xmlns:a16="http://schemas.microsoft.com/office/drawing/2014/main" id="{9169D57A-4534-4F12-A19F-74A6A1071805}"/>
            </a:ext>
          </a:extLst>
        </xdr:cNvPr>
        <xdr:cNvSpPr/>
      </xdr:nvSpPr>
      <xdr:spPr>
        <a:xfrm>
          <a:off x="9281160" y="1066800"/>
          <a:ext cx="1912620" cy="1920240"/>
        </a:xfrm>
        <a:prstGeom prst="roundRect">
          <a:avLst>
            <a:gd name="adj" fmla="val 3805"/>
          </a:avLst>
        </a:prstGeom>
        <a:gradFill>
          <a:gsLst>
            <a:gs pos="2000">
              <a:srgbClr val="F0F8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411480</xdr:colOff>
      <xdr:row>5</xdr:row>
      <xdr:rowOff>129540</xdr:rowOff>
    </xdr:from>
    <xdr:to>
      <xdr:col>21</xdr:col>
      <xdr:colOff>426720</xdr:colOff>
      <xdr:row>16</xdr:row>
      <xdr:rowOff>76200</xdr:rowOff>
    </xdr:to>
    <xdr:sp macro="" textlink="">
      <xdr:nvSpPr>
        <xdr:cNvPr id="41" name="Rectangle: Rounded Corners 40">
          <a:extLst>
            <a:ext uri="{FF2B5EF4-FFF2-40B4-BE49-F238E27FC236}">
              <a16:creationId xmlns:a16="http://schemas.microsoft.com/office/drawing/2014/main" id="{8B9E566F-C6CC-4452-BAC1-7CBE61A811BC}"/>
            </a:ext>
          </a:extLst>
        </xdr:cNvPr>
        <xdr:cNvSpPr/>
      </xdr:nvSpPr>
      <xdr:spPr>
        <a:xfrm>
          <a:off x="11384280" y="1043940"/>
          <a:ext cx="1844040" cy="1958340"/>
        </a:xfrm>
        <a:prstGeom prst="roundRect">
          <a:avLst>
            <a:gd name="adj" fmla="val 3805"/>
          </a:avLst>
        </a:prstGeom>
        <a:gradFill>
          <a:gsLst>
            <a:gs pos="2000">
              <a:srgbClr val="F0F8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160020</xdr:colOff>
      <xdr:row>16</xdr:row>
      <xdr:rowOff>129540</xdr:rowOff>
    </xdr:from>
    <xdr:to>
      <xdr:col>21</xdr:col>
      <xdr:colOff>426720</xdr:colOff>
      <xdr:row>23</xdr:row>
      <xdr:rowOff>167640</xdr:rowOff>
    </xdr:to>
    <xdr:sp macro="" textlink="">
      <xdr:nvSpPr>
        <xdr:cNvPr id="42" name="Rectangle: Rounded Corners 41">
          <a:extLst>
            <a:ext uri="{FF2B5EF4-FFF2-40B4-BE49-F238E27FC236}">
              <a16:creationId xmlns:a16="http://schemas.microsoft.com/office/drawing/2014/main" id="{31450FB4-6133-47EF-965B-78897F7697BE}"/>
            </a:ext>
          </a:extLst>
        </xdr:cNvPr>
        <xdr:cNvSpPr/>
      </xdr:nvSpPr>
      <xdr:spPr>
        <a:xfrm>
          <a:off x="9304020" y="3055620"/>
          <a:ext cx="3924300" cy="1318260"/>
        </a:xfrm>
        <a:prstGeom prst="roundRect">
          <a:avLst>
            <a:gd name="adj" fmla="val 3805"/>
          </a:avLst>
        </a:prstGeom>
        <a:gradFill>
          <a:gsLst>
            <a:gs pos="2000">
              <a:srgbClr val="F0F8F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510541</xdr:colOff>
      <xdr:row>6</xdr:row>
      <xdr:rowOff>60961</xdr:rowOff>
    </xdr:from>
    <xdr:to>
      <xdr:col>21</xdr:col>
      <xdr:colOff>358140</xdr:colOff>
      <xdr:row>15</xdr:row>
      <xdr:rowOff>152401</xdr:rowOff>
    </xdr:to>
    <mc:AlternateContent xmlns:mc="http://schemas.openxmlformats.org/markup-compatibility/2006" xmlns:a14="http://schemas.microsoft.com/office/drawing/2010/main">
      <mc:Choice Requires="a14">
        <xdr:graphicFrame macro="">
          <xdr:nvGraphicFramePr>
            <xdr:cNvPr id="43" name="Salesperson 1">
              <a:extLst>
                <a:ext uri="{FF2B5EF4-FFF2-40B4-BE49-F238E27FC236}">
                  <a16:creationId xmlns:a16="http://schemas.microsoft.com/office/drawing/2014/main" id="{EA3C4D35-928B-451D-8A2D-6D060F0215A8}"/>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1483341" y="1141616"/>
              <a:ext cx="1676399" cy="1712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228600</xdr:colOff>
      <xdr:row>6</xdr:row>
      <xdr:rowOff>91440</xdr:rowOff>
    </xdr:from>
    <xdr:to>
      <xdr:col>18</xdr:col>
      <xdr:colOff>114300</xdr:colOff>
      <xdr:row>15</xdr:row>
      <xdr:rowOff>129540</xdr:rowOff>
    </xdr:to>
    <mc:AlternateContent xmlns:mc="http://schemas.openxmlformats.org/markup-compatibility/2006" xmlns:a14="http://schemas.microsoft.com/office/drawing/2010/main">
      <mc:Choice Requires="a14">
        <xdr:graphicFrame macro="">
          <xdr:nvGraphicFramePr>
            <xdr:cNvPr id="44" name="Category 1">
              <a:extLst>
                <a:ext uri="{FF2B5EF4-FFF2-40B4-BE49-F238E27FC236}">
                  <a16:creationId xmlns:a16="http://schemas.microsoft.com/office/drawing/2014/main" id="{202A78EC-6550-45FB-A818-72C3A477F1E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372600" y="1172095"/>
              <a:ext cx="1714500" cy="1659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259080</xdr:colOff>
      <xdr:row>17</xdr:row>
      <xdr:rowOff>30480</xdr:rowOff>
    </xdr:from>
    <xdr:to>
      <xdr:col>21</xdr:col>
      <xdr:colOff>335280</xdr:colOff>
      <xdr:row>23</xdr:row>
      <xdr:rowOff>76201</xdr:rowOff>
    </xdr:to>
    <mc:AlternateContent xmlns:mc="http://schemas.openxmlformats.org/markup-compatibility/2006" xmlns:a14="http://schemas.microsoft.com/office/drawing/2010/main">
      <mc:Choice Requires="a14">
        <xdr:graphicFrame macro="">
          <xdr:nvGraphicFramePr>
            <xdr:cNvPr id="45" name="Region 1">
              <a:extLst>
                <a:ext uri="{FF2B5EF4-FFF2-40B4-BE49-F238E27FC236}">
                  <a16:creationId xmlns:a16="http://schemas.microsoft.com/office/drawing/2014/main" id="{143EF01E-2CA2-4C2E-A253-64FE726AB2D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03080" y="3092335"/>
              <a:ext cx="3733800" cy="112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27.395510300928" createdVersion="8" refreshedVersion="8" minRefreshableVersion="3" recordCount="10" xr:uid="{28932B57-403F-4F99-A46E-A6E96F6F5CF5}">
  <cacheSource type="worksheet">
    <worksheetSource name="Table1"/>
  </cacheSource>
  <cacheFields count="9">
    <cacheField name="Order ID" numFmtId="0">
      <sharedItems containsSemiMixedTypes="0" containsString="0" containsNumber="1" containsInteger="1" minValue="1001" maxValue="1010"/>
    </cacheField>
    <cacheField name="Date" numFmtId="15">
      <sharedItems containsSemiMixedTypes="0" containsNonDate="0" containsDate="1" containsString="0" minDate="2026-01-01T00:00:00" maxDate="2026-01-11T00:00:00"/>
    </cacheField>
    <cacheField name="Region" numFmtId="0">
      <sharedItems count="4">
        <s v="North"/>
        <s v="South"/>
        <s v="East"/>
        <s v="West"/>
      </sharedItems>
    </cacheField>
    <cacheField name="Category" numFmtId="0">
      <sharedItems count="2">
        <s v="Electronics"/>
        <s v="Furniture"/>
      </sharedItems>
    </cacheField>
    <cacheField name="Product" numFmtId="0">
      <sharedItems count="7">
        <s v="Laptop"/>
        <s v="Chair"/>
        <s v="Table"/>
        <s v="Phone"/>
        <s v="Sofa"/>
        <s v="TV"/>
        <s v="Bed"/>
      </sharedItems>
    </cacheField>
    <cacheField name="Salesperson" numFmtId="0">
      <sharedItems count="5">
        <s v="Amit"/>
        <s v="Ravi"/>
        <s v="Priya"/>
        <s v="Neha"/>
        <s v="Rahul"/>
      </sharedItems>
    </cacheField>
    <cacheField name="Quantity" numFmtId="0">
      <sharedItems containsSemiMixedTypes="0" containsString="0" containsNumber="1" containsInteger="1" minValue="2" maxValue="8"/>
    </cacheField>
    <cacheField name="Sales" numFmtId="0">
      <sharedItems containsSemiMixedTypes="0" containsString="0" containsNumber="1" containsInteger="1" minValue="18000" maxValue="75000"/>
    </cacheField>
    <cacheField name="Profit" numFmtId="0">
      <sharedItems containsSemiMixedTypes="0" containsString="0" containsNumber="1" containsInteger="1" minValue="5000" maxValue="18000"/>
    </cacheField>
  </cacheFields>
  <extLst>
    <ext xmlns:x14="http://schemas.microsoft.com/office/spreadsheetml/2009/9/main" uri="{725AE2AE-9491-48be-B2B4-4EB974FC3084}">
      <x14:pivotCacheDefinition pivotCacheId="1370366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d v="2026-01-01T00:00:00"/>
    <x v="0"/>
    <x v="0"/>
    <x v="0"/>
    <x v="0"/>
    <n v="2"/>
    <n v="50000"/>
    <n v="12000"/>
  </r>
  <r>
    <n v="1002"/>
    <d v="2026-01-02T00:00:00"/>
    <x v="1"/>
    <x v="1"/>
    <x v="1"/>
    <x v="1"/>
    <n v="5"/>
    <n v="18000"/>
    <n v="5000"/>
  </r>
  <r>
    <n v="1003"/>
    <d v="2026-01-03T00:00:00"/>
    <x v="0"/>
    <x v="1"/>
    <x v="2"/>
    <x v="2"/>
    <n v="3"/>
    <n v="24000"/>
    <n v="6000"/>
  </r>
  <r>
    <n v="1004"/>
    <d v="2026-01-04T00:00:00"/>
    <x v="2"/>
    <x v="0"/>
    <x v="3"/>
    <x v="3"/>
    <n v="6"/>
    <n v="30000"/>
    <n v="8000"/>
  </r>
  <r>
    <n v="1005"/>
    <d v="2026-01-05T00:00:00"/>
    <x v="3"/>
    <x v="1"/>
    <x v="4"/>
    <x v="4"/>
    <n v="2"/>
    <n v="42000"/>
    <n v="10000"/>
  </r>
  <r>
    <n v="1006"/>
    <d v="2026-01-06T00:00:00"/>
    <x v="0"/>
    <x v="0"/>
    <x v="5"/>
    <x v="0"/>
    <n v="4"/>
    <n v="52000"/>
    <n v="15000"/>
  </r>
  <r>
    <n v="1007"/>
    <d v="2026-01-07T00:00:00"/>
    <x v="1"/>
    <x v="0"/>
    <x v="0"/>
    <x v="1"/>
    <n v="3"/>
    <n v="75000"/>
    <n v="18000"/>
  </r>
  <r>
    <n v="1008"/>
    <d v="2026-01-08T00:00:00"/>
    <x v="3"/>
    <x v="0"/>
    <x v="3"/>
    <x v="4"/>
    <n v="5"/>
    <n v="45000"/>
    <n v="11000"/>
  </r>
  <r>
    <n v="1009"/>
    <d v="2026-01-09T00:00:00"/>
    <x v="2"/>
    <x v="1"/>
    <x v="6"/>
    <x v="3"/>
    <n v="2"/>
    <n v="35000"/>
    <n v="9000"/>
  </r>
  <r>
    <n v="1010"/>
    <d v="2026-01-10T00:00:00"/>
    <x v="0"/>
    <x v="1"/>
    <x v="1"/>
    <x v="2"/>
    <n v="8"/>
    <n v="40000"/>
    <n v="9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6CA46D-50DC-4508-87EA-02EF6764033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9">
    <pivotField showAll="0"/>
    <pivotField numFmtId="15" showAll="0"/>
    <pivotField axis="axisRow" showAll="0">
      <items count="5">
        <item x="2"/>
        <item x="0"/>
        <item x="1"/>
        <item x="3"/>
        <item t="default"/>
      </items>
    </pivotField>
    <pivotField showAll="0">
      <items count="3">
        <item x="0"/>
        <item x="1"/>
        <item t="default"/>
      </items>
    </pivotField>
    <pivotField showAll="0"/>
    <pivotField showAll="0">
      <items count="6">
        <item x="0"/>
        <item x="3"/>
        <item x="2"/>
        <item x="4"/>
        <item x="1"/>
        <item t="default"/>
      </items>
    </pivotField>
    <pivotField showAll="0"/>
    <pivotField dataField="1" showAll="0"/>
    <pivotField showAll="0"/>
  </pivotFields>
  <rowFields count="1">
    <field x="2"/>
  </rowFields>
  <rowItems count="5">
    <i>
      <x/>
    </i>
    <i>
      <x v="1"/>
    </i>
    <i>
      <x v="2"/>
    </i>
    <i>
      <x v="3"/>
    </i>
    <i t="grand">
      <x/>
    </i>
  </rowItems>
  <colItems count="1">
    <i/>
  </colItems>
  <dataFields count="1">
    <dataField name="Sum of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5C2735-84D0-44C6-9DC2-E70EA548E6C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J9" firstHeaderRow="1" firstDataRow="1" firstDataCol="1"/>
  <pivotFields count="9">
    <pivotField showAll="0"/>
    <pivotField numFmtId="15" showAll="0"/>
    <pivotField showAll="0"/>
    <pivotField showAll="0"/>
    <pivotField axis="axisRow" showAll="0">
      <items count="8">
        <item x="6"/>
        <item x="1"/>
        <item x="0"/>
        <item x="3"/>
        <item x="4"/>
        <item x="2"/>
        <item x="5"/>
        <item t="default"/>
      </items>
    </pivotField>
    <pivotField showAll="0"/>
    <pivotField dataField="1" showAll="0"/>
    <pivotField showAll="0"/>
    <pivotField showAll="0"/>
  </pivotFields>
  <rowFields count="1">
    <field x="4"/>
  </rowFields>
  <rowItems count="8">
    <i>
      <x/>
    </i>
    <i>
      <x v="1"/>
    </i>
    <i>
      <x v="2"/>
    </i>
    <i>
      <x v="3"/>
    </i>
    <i>
      <x v="4"/>
    </i>
    <i>
      <x v="5"/>
    </i>
    <i>
      <x v="6"/>
    </i>
    <i t="grand">
      <x/>
    </i>
  </rowItems>
  <colItems count="1">
    <i/>
  </colItems>
  <dataFields count="1">
    <dataField name="Sum of Quantity"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706CF7-E056-457C-9F69-02622D2B2E0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1:N6" firstHeaderRow="1" firstDataRow="1" firstDataCol="1"/>
  <pivotFields count="9">
    <pivotField showAll="0"/>
    <pivotField numFmtId="15" showAll="0"/>
    <pivotField axis="axisRow" showAll="0">
      <items count="5">
        <item x="2"/>
        <item x="0"/>
        <item x="1"/>
        <item x="3"/>
        <item t="default"/>
      </items>
    </pivotField>
    <pivotField showAll="0"/>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Sum of Profit"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1C0944-FFE0-41B9-AB4B-4517FDCADE7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F7" firstHeaderRow="1" firstDataRow="1" firstDataCol="1"/>
  <pivotFields count="9">
    <pivotField showAll="0"/>
    <pivotField numFmtId="15" showAll="0"/>
    <pivotField showAll="0">
      <items count="5">
        <item x="2"/>
        <item x="0"/>
        <item x="1"/>
        <item x="3"/>
        <item t="default"/>
      </items>
    </pivotField>
    <pivotField showAll="0">
      <items count="3">
        <item x="0"/>
        <item x="1"/>
        <item t="default"/>
      </items>
    </pivotField>
    <pivotField showAll="0"/>
    <pivotField axis="axisRow" showAll="0">
      <items count="6">
        <item x="0"/>
        <item x="3"/>
        <item x="2"/>
        <item x="4"/>
        <item x="1"/>
        <item t="default"/>
      </items>
    </pivotField>
    <pivotField showAll="0"/>
    <pivotField dataField="1" showAll="0"/>
    <pivotField showAll="0"/>
  </pivotFields>
  <rowFields count="1">
    <field x="5"/>
  </rowFields>
  <rowItems count="6">
    <i>
      <x/>
    </i>
    <i>
      <x v="1"/>
    </i>
    <i>
      <x v="2"/>
    </i>
    <i>
      <x v="3"/>
    </i>
    <i>
      <x v="4"/>
    </i>
    <i t="grand">
      <x/>
    </i>
  </rowItems>
  <colItems count="1">
    <i/>
  </colItems>
  <dataFields count="1">
    <dataField name="Sum of Sales"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54DCB9-BE5E-4C61-B882-90E9CB57FD2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1:R4" firstHeaderRow="1" firstDataRow="1" firstDataCol="1"/>
  <pivotFields count="9">
    <pivotField showAll="0"/>
    <pivotField numFmtId="15" showAll="0"/>
    <pivotField showAll="0">
      <items count="5">
        <item x="2"/>
        <item x="0"/>
        <item x="1"/>
        <item x="3"/>
        <item t="default"/>
      </items>
    </pivotField>
    <pivotField axis="axisRow" showAll="0">
      <items count="3">
        <item x="0"/>
        <item x="1"/>
        <item t="default"/>
      </items>
    </pivotField>
    <pivotField showAll="0"/>
    <pivotField showAll="0">
      <items count="6">
        <item x="0"/>
        <item x="3"/>
        <item x="2"/>
        <item x="4"/>
        <item x="1"/>
        <item t="default"/>
      </items>
    </pivotField>
    <pivotField showAll="0"/>
    <pivotField dataField="1" showAll="0"/>
    <pivotField showAll="0"/>
  </pivotFields>
  <rowFields count="1">
    <field x="3"/>
  </rowFields>
  <rowItems count="3">
    <i>
      <x/>
    </i>
    <i>
      <x v="1"/>
    </i>
    <i t="grand">
      <x/>
    </i>
  </rowItems>
  <colItems count="1">
    <i/>
  </colItems>
  <dataFields count="1">
    <dataField name="Sum of Sales" fld="7" baseField="0" baseItem="0"/>
  </dataField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CF0BBC-6AD4-465E-926B-EA0A5A9CB5A2}" sourceName="Region">
  <pivotTables>
    <pivotTable tabId="4" name="PivotTable3"/>
    <pivotTable tabId="4" name="PivotTable1"/>
    <pivotTable tabId="4" name="PivotTable4"/>
  </pivotTables>
  <data>
    <tabular pivotCacheId="137036690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943DF2-3E69-42CE-97F6-162511B82E80}" sourceName="Category">
  <pivotTables>
    <pivotTable tabId="4" name="PivotTable3"/>
    <pivotTable tabId="4" name="PivotTable1"/>
    <pivotTable tabId="4" name="PivotTable4"/>
  </pivotTables>
  <data>
    <tabular pivotCacheId="137036690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AB31E19-4752-4B65-BF5E-24EE78BAFB4F}" sourceName="Salesperson">
  <pivotTables>
    <pivotTable tabId="4" name="PivotTable3"/>
    <pivotTable tabId="4" name="PivotTable1"/>
    <pivotTable tabId="4" name="PivotTable4"/>
  </pivotTables>
  <data>
    <tabular pivotCacheId="1370366904">
      <items count="5">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E04777A-F622-4C5B-BE4E-D217CF6DA15E}" cache="Slicer_Region" caption="Region" columnCount="4" rowHeight="234950"/>
  <slicer name="Category 1" xr10:uid="{EC17286C-2DFD-4585-8ED6-6FC6E99A600A}" cache="Slicer_Category" caption="Category" style="SlicerStyleOther2" rowHeight="234950"/>
  <slicer name="Salesperson 1" xr10:uid="{DBB47B3F-8AA4-4BFC-BA97-B17EC398C9F7}"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3EB00D-7B22-4A89-A293-174DD6438734}" name="Table1" displayName="Table1" ref="A1:I11" totalsRowShown="0" headerRowDxfId="10" dataDxfId="9">
  <autoFilter ref="A1:I11" xr:uid="{7F3EB00D-7B22-4A89-A293-174DD6438734}"/>
  <tableColumns count="9">
    <tableColumn id="1" xr3:uid="{A76B72F5-817C-489A-9062-97C656308943}" name="Order ID" dataDxfId="8"/>
    <tableColumn id="2" xr3:uid="{171A7DAC-C74E-4F42-BB34-7485637A416D}" name="Date" dataDxfId="7"/>
    <tableColumn id="3" xr3:uid="{62091EB0-01E4-46BF-80B0-46AD1FC2378C}" name="Region" dataDxfId="6"/>
    <tableColumn id="4" xr3:uid="{BFBC3E34-B745-4168-99F3-8A87F56A62AC}" name="Category" dataDxfId="5"/>
    <tableColumn id="5" xr3:uid="{7C7965FF-5C1A-419F-B120-0CC6D77FF0BF}" name="Product" dataDxfId="4"/>
    <tableColumn id="6" xr3:uid="{40E571D4-0CEF-4BAA-B826-0D6A5EE2D44D}" name="Salesperson" dataDxfId="3"/>
    <tableColumn id="7" xr3:uid="{E8556E26-1C90-4059-BFD2-B9E873C6C423}" name="Quantity" dataDxfId="2"/>
    <tableColumn id="8" xr3:uid="{3132C362-3091-40DD-8726-6B34E7A3F79A}" name="Sales" dataDxfId="1"/>
    <tableColumn id="9" xr3:uid="{37EE7105-1A18-4DA5-A138-F379931DA072}"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ED445-87AF-4C8D-B1DC-8F2506B47197}">
  <dimension ref="A1"/>
  <sheetViews>
    <sheetView showGridLines="0" tabSelected="1" topLeftCell="C1" zoomScale="110" zoomScaleNormal="110" workbookViewId="0">
      <selection activeCell="W6" sqref="W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85017-61A1-462D-96F1-029A6C37A9FE}">
  <dimension ref="A1:I11"/>
  <sheetViews>
    <sheetView workbookViewId="0">
      <selection activeCell="C21" sqref="C21"/>
    </sheetView>
  </sheetViews>
  <sheetFormatPr defaultRowHeight="14.4" x14ac:dyDescent="0.3"/>
  <cols>
    <col min="1" max="1" width="9.88671875" customWidth="1"/>
    <col min="2" max="2" width="9" bestFit="1" customWidth="1"/>
    <col min="3" max="3" width="8.6640625" customWidth="1"/>
    <col min="4" max="4" width="10.44140625" customWidth="1"/>
    <col min="5" max="5" width="9.5546875" customWidth="1"/>
    <col min="6" max="6" width="12.88671875" customWidth="1"/>
    <col min="7" max="7" width="10.21875" customWidth="1"/>
    <col min="8" max="8" width="7.109375" customWidth="1"/>
    <col min="9" max="9" width="7.5546875" customWidth="1"/>
  </cols>
  <sheetData>
    <row r="1" spans="1:9" x14ac:dyDescent="0.3">
      <c r="A1" s="1" t="s">
        <v>0</v>
      </c>
      <c r="B1" s="2" t="s">
        <v>1</v>
      </c>
      <c r="C1" s="2" t="s">
        <v>2</v>
      </c>
      <c r="D1" s="2" t="s">
        <v>3</v>
      </c>
      <c r="E1" s="2" t="s">
        <v>4</v>
      </c>
      <c r="F1" s="2" t="s">
        <v>5</v>
      </c>
      <c r="G1" s="1" t="s">
        <v>6</v>
      </c>
      <c r="H1" s="1" t="s">
        <v>7</v>
      </c>
      <c r="I1" s="1" t="s">
        <v>8</v>
      </c>
    </row>
    <row r="2" spans="1:9" x14ac:dyDescent="0.3">
      <c r="A2" s="3">
        <v>1001</v>
      </c>
      <c r="B2" s="4">
        <v>46023</v>
      </c>
      <c r="C2" s="5" t="s">
        <v>9</v>
      </c>
      <c r="D2" s="5" t="s">
        <v>10</v>
      </c>
      <c r="E2" s="5" t="s">
        <v>11</v>
      </c>
      <c r="F2" s="5" t="s">
        <v>12</v>
      </c>
      <c r="G2" s="3">
        <v>2</v>
      </c>
      <c r="H2" s="3">
        <v>50000</v>
      </c>
      <c r="I2" s="3">
        <v>12000</v>
      </c>
    </row>
    <row r="3" spans="1:9" x14ac:dyDescent="0.3">
      <c r="A3" s="3">
        <v>1002</v>
      </c>
      <c r="B3" s="4">
        <v>46024</v>
      </c>
      <c r="C3" s="5" t="s">
        <v>13</v>
      </c>
      <c r="D3" s="5" t="s">
        <v>14</v>
      </c>
      <c r="E3" s="5" t="s">
        <v>15</v>
      </c>
      <c r="F3" s="5" t="s">
        <v>16</v>
      </c>
      <c r="G3" s="3">
        <v>5</v>
      </c>
      <c r="H3" s="3">
        <v>18000</v>
      </c>
      <c r="I3" s="3">
        <v>5000</v>
      </c>
    </row>
    <row r="4" spans="1:9" x14ac:dyDescent="0.3">
      <c r="A4" s="3">
        <v>1003</v>
      </c>
      <c r="B4" s="4">
        <v>46025</v>
      </c>
      <c r="C4" s="5" t="s">
        <v>9</v>
      </c>
      <c r="D4" s="5" t="s">
        <v>14</v>
      </c>
      <c r="E4" s="5" t="s">
        <v>17</v>
      </c>
      <c r="F4" s="5" t="s">
        <v>18</v>
      </c>
      <c r="G4" s="3">
        <v>3</v>
      </c>
      <c r="H4" s="3">
        <v>24000</v>
      </c>
      <c r="I4" s="3">
        <v>6000</v>
      </c>
    </row>
    <row r="5" spans="1:9" x14ac:dyDescent="0.3">
      <c r="A5" s="3">
        <v>1004</v>
      </c>
      <c r="B5" s="4">
        <v>46026</v>
      </c>
      <c r="C5" s="5" t="s">
        <v>19</v>
      </c>
      <c r="D5" s="5" t="s">
        <v>10</v>
      </c>
      <c r="E5" s="5" t="s">
        <v>20</v>
      </c>
      <c r="F5" s="5" t="s">
        <v>21</v>
      </c>
      <c r="G5" s="3">
        <v>6</v>
      </c>
      <c r="H5" s="3">
        <v>30000</v>
      </c>
      <c r="I5" s="3">
        <v>8000</v>
      </c>
    </row>
    <row r="6" spans="1:9" x14ac:dyDescent="0.3">
      <c r="A6" s="3">
        <v>1005</v>
      </c>
      <c r="B6" s="4">
        <v>46027</v>
      </c>
      <c r="C6" s="5" t="s">
        <v>22</v>
      </c>
      <c r="D6" s="5" t="s">
        <v>14</v>
      </c>
      <c r="E6" s="5" t="s">
        <v>23</v>
      </c>
      <c r="F6" s="5" t="s">
        <v>24</v>
      </c>
      <c r="G6" s="3">
        <v>2</v>
      </c>
      <c r="H6" s="3">
        <v>42000</v>
      </c>
      <c r="I6" s="3">
        <v>10000</v>
      </c>
    </row>
    <row r="7" spans="1:9" x14ac:dyDescent="0.3">
      <c r="A7" s="3">
        <v>1006</v>
      </c>
      <c r="B7" s="4">
        <v>46028</v>
      </c>
      <c r="C7" s="5" t="s">
        <v>9</v>
      </c>
      <c r="D7" s="5" t="s">
        <v>10</v>
      </c>
      <c r="E7" s="5" t="s">
        <v>25</v>
      </c>
      <c r="F7" s="5" t="s">
        <v>12</v>
      </c>
      <c r="G7" s="3">
        <v>4</v>
      </c>
      <c r="H7" s="3">
        <v>52000</v>
      </c>
      <c r="I7" s="3">
        <v>15000</v>
      </c>
    </row>
    <row r="8" spans="1:9" x14ac:dyDescent="0.3">
      <c r="A8" s="3">
        <v>1007</v>
      </c>
      <c r="B8" s="4">
        <v>46029</v>
      </c>
      <c r="C8" s="5" t="s">
        <v>13</v>
      </c>
      <c r="D8" s="5" t="s">
        <v>10</v>
      </c>
      <c r="E8" s="5" t="s">
        <v>11</v>
      </c>
      <c r="F8" s="5" t="s">
        <v>16</v>
      </c>
      <c r="G8" s="3">
        <v>3</v>
      </c>
      <c r="H8" s="3">
        <v>75000</v>
      </c>
      <c r="I8" s="3">
        <v>18000</v>
      </c>
    </row>
    <row r="9" spans="1:9" x14ac:dyDescent="0.3">
      <c r="A9" s="3">
        <v>1008</v>
      </c>
      <c r="B9" s="4">
        <v>46030</v>
      </c>
      <c r="C9" s="5" t="s">
        <v>22</v>
      </c>
      <c r="D9" s="5" t="s">
        <v>10</v>
      </c>
      <c r="E9" s="5" t="s">
        <v>20</v>
      </c>
      <c r="F9" s="5" t="s">
        <v>24</v>
      </c>
      <c r="G9" s="3">
        <v>5</v>
      </c>
      <c r="H9" s="3">
        <v>45000</v>
      </c>
      <c r="I9" s="3">
        <v>11000</v>
      </c>
    </row>
    <row r="10" spans="1:9" x14ac:dyDescent="0.3">
      <c r="A10" s="3">
        <v>1009</v>
      </c>
      <c r="B10" s="4">
        <v>46031</v>
      </c>
      <c r="C10" s="5" t="s">
        <v>19</v>
      </c>
      <c r="D10" s="5" t="s">
        <v>14</v>
      </c>
      <c r="E10" s="5" t="s">
        <v>26</v>
      </c>
      <c r="F10" s="5" t="s">
        <v>21</v>
      </c>
      <c r="G10" s="3">
        <v>2</v>
      </c>
      <c r="H10" s="3">
        <v>35000</v>
      </c>
      <c r="I10" s="3">
        <v>9000</v>
      </c>
    </row>
    <row r="11" spans="1:9" x14ac:dyDescent="0.3">
      <c r="A11" s="3">
        <v>1010</v>
      </c>
      <c r="B11" s="4">
        <v>46032</v>
      </c>
      <c r="C11" s="5" t="s">
        <v>9</v>
      </c>
      <c r="D11" s="5" t="s">
        <v>14</v>
      </c>
      <c r="E11" s="5" t="s">
        <v>15</v>
      </c>
      <c r="F11" s="5" t="s">
        <v>18</v>
      </c>
      <c r="G11" s="3">
        <v>8</v>
      </c>
      <c r="H11" s="3">
        <v>40000</v>
      </c>
      <c r="I11" s="3">
        <v>9500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16569-8268-4F8E-8FE2-0D17632C00BA}">
  <dimension ref="A1:R11"/>
  <sheetViews>
    <sheetView workbookViewId="0">
      <selection activeCell="I12" sqref="I12"/>
    </sheetView>
  </sheetViews>
  <sheetFormatPr defaultRowHeight="14.4" x14ac:dyDescent="0.3"/>
  <cols>
    <col min="1" max="1" width="12.5546875" bestFit="1" customWidth="1"/>
    <col min="2" max="2" width="11.6640625" bestFit="1" customWidth="1"/>
    <col min="5" max="5" width="12.5546875" bestFit="1" customWidth="1"/>
    <col min="6" max="6" width="11.6640625" bestFit="1" customWidth="1"/>
    <col min="13" max="13" width="11.88671875" bestFit="1" customWidth="1"/>
    <col min="17" max="17" width="12.88671875" bestFit="1" customWidth="1"/>
  </cols>
  <sheetData>
    <row r="1" spans="1:18" x14ac:dyDescent="0.3">
      <c r="A1" s="6" t="s">
        <v>27</v>
      </c>
      <c r="B1" t="s">
        <v>29</v>
      </c>
      <c r="E1" s="6" t="s">
        <v>27</v>
      </c>
      <c r="F1" t="s">
        <v>29</v>
      </c>
      <c r="I1" s="6" t="s">
        <v>27</v>
      </c>
      <c r="J1" t="s">
        <v>31</v>
      </c>
      <c r="M1" s="6" t="s">
        <v>27</v>
      </c>
      <c r="N1" t="s">
        <v>30</v>
      </c>
      <c r="Q1" s="6" t="s">
        <v>27</v>
      </c>
      <c r="R1" t="s">
        <v>29</v>
      </c>
    </row>
    <row r="2" spans="1:18" x14ac:dyDescent="0.3">
      <c r="A2" s="7" t="s">
        <v>19</v>
      </c>
      <c r="B2">
        <v>65000</v>
      </c>
      <c r="E2" s="7" t="s">
        <v>12</v>
      </c>
      <c r="F2">
        <v>102000</v>
      </c>
      <c r="I2" s="7" t="s">
        <v>26</v>
      </c>
      <c r="J2">
        <v>2</v>
      </c>
      <c r="M2" s="7" t="s">
        <v>19</v>
      </c>
      <c r="N2">
        <v>17000</v>
      </c>
      <c r="Q2" s="7" t="s">
        <v>10</v>
      </c>
      <c r="R2">
        <v>252000</v>
      </c>
    </row>
    <row r="3" spans="1:18" x14ac:dyDescent="0.3">
      <c r="A3" s="7" t="s">
        <v>9</v>
      </c>
      <c r="B3">
        <v>166000</v>
      </c>
      <c r="E3" s="7" t="s">
        <v>21</v>
      </c>
      <c r="F3">
        <v>65000</v>
      </c>
      <c r="I3" s="7" t="s">
        <v>15</v>
      </c>
      <c r="J3">
        <v>13</v>
      </c>
      <c r="M3" s="7" t="s">
        <v>9</v>
      </c>
      <c r="N3">
        <v>42500</v>
      </c>
      <c r="Q3" s="7" t="s">
        <v>14</v>
      </c>
      <c r="R3">
        <v>159000</v>
      </c>
    </row>
    <row r="4" spans="1:18" x14ac:dyDescent="0.3">
      <c r="A4" s="7" t="s">
        <v>13</v>
      </c>
      <c r="B4">
        <v>93000</v>
      </c>
      <c r="E4" s="7" t="s">
        <v>18</v>
      </c>
      <c r="F4">
        <v>64000</v>
      </c>
      <c r="I4" s="7" t="s">
        <v>11</v>
      </c>
      <c r="J4">
        <v>5</v>
      </c>
      <c r="M4" s="7" t="s">
        <v>13</v>
      </c>
      <c r="N4">
        <v>23000</v>
      </c>
      <c r="Q4" s="7" t="s">
        <v>28</v>
      </c>
      <c r="R4">
        <v>411000</v>
      </c>
    </row>
    <row r="5" spans="1:18" x14ac:dyDescent="0.3">
      <c r="A5" s="7" t="s">
        <v>22</v>
      </c>
      <c r="B5">
        <v>87000</v>
      </c>
      <c r="E5" s="7" t="s">
        <v>24</v>
      </c>
      <c r="F5">
        <v>87000</v>
      </c>
      <c r="I5" s="7" t="s">
        <v>20</v>
      </c>
      <c r="J5">
        <v>11</v>
      </c>
      <c r="M5" s="7" t="s">
        <v>22</v>
      </c>
      <c r="N5">
        <v>21000</v>
      </c>
    </row>
    <row r="6" spans="1:18" x14ac:dyDescent="0.3">
      <c r="A6" s="7" t="s">
        <v>28</v>
      </c>
      <c r="B6">
        <v>411000</v>
      </c>
      <c r="E6" s="7" t="s">
        <v>16</v>
      </c>
      <c r="F6">
        <v>93000</v>
      </c>
      <c r="I6" s="7" t="s">
        <v>23</v>
      </c>
      <c r="J6">
        <v>2</v>
      </c>
      <c r="M6" s="7" t="s">
        <v>28</v>
      </c>
      <c r="N6">
        <v>103500</v>
      </c>
      <c r="Q6" s="9">
        <f>GETPIVOTDATA("Sales",$Q$1)</f>
        <v>411000</v>
      </c>
    </row>
    <row r="7" spans="1:18" x14ac:dyDescent="0.3">
      <c r="E7" s="7" t="s">
        <v>28</v>
      </c>
      <c r="F7">
        <v>411000</v>
      </c>
      <c r="I7" s="7" t="s">
        <v>17</v>
      </c>
      <c r="J7">
        <v>3</v>
      </c>
    </row>
    <row r="8" spans="1:18" x14ac:dyDescent="0.3">
      <c r="I8" s="7" t="s">
        <v>25</v>
      </c>
      <c r="J8">
        <v>4</v>
      </c>
      <c r="M8" s="8">
        <f>GETPIVOTDATA("Profit",$M$1)</f>
        <v>103500</v>
      </c>
    </row>
    <row r="9" spans="1:18" x14ac:dyDescent="0.3">
      <c r="F9">
        <f>COUNT(Order_ID)</f>
        <v>10</v>
      </c>
      <c r="I9" s="7" t="s">
        <v>28</v>
      </c>
      <c r="J9">
        <v>40</v>
      </c>
    </row>
    <row r="11" spans="1:18" x14ac:dyDescent="0.3">
      <c r="I11">
        <f>SUM(Quantity)</f>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Dashboard</vt:lpstr>
      <vt:lpstr>Raw Data</vt:lpstr>
      <vt:lpstr>Pivot Table</vt:lpstr>
      <vt:lpstr>Order_ID</vt:lpstr>
      <vt:lpstr>Profit</vt:lpstr>
      <vt:lpstr>Quantity</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2026-07-23T03:47:20Z</dcterms:created>
  <dcterms:modified xsi:type="dcterms:W3CDTF">2026-07-27T08:13:14Z</dcterms:modified>
</cp:coreProperties>
</file>