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 repository\excel_wise-owl\"/>
    </mc:Choice>
  </mc:AlternateContent>
  <xr:revisionPtr revIDLastSave="0" documentId="8_{986BC975-52C2-411E-8652-532A5354B338}" xr6:coauthVersionLast="47" xr6:coauthVersionMax="47" xr10:uidLastSave="{00000000-0000-0000-0000-000000000000}"/>
  <bookViews>
    <workbookView xWindow="-108" yWindow="-108" windowWidth="23256" windowHeight="12456" activeTab="4" xr2:uid="{F3D967AD-99CC-4085-819F-E4FD2DAC331B}"/>
  </bookViews>
  <sheets>
    <sheet name="LARGE()" sheetId="1" r:id="rId1"/>
    <sheet name="SMALL()" sheetId="2" r:id="rId2"/>
    <sheet name="RANK.EQ()" sheetId="3" r:id="rId3"/>
    <sheet name="PERCENTILE.INC()" sheetId="4" r:id="rId4"/>
    <sheet name="QUARTILE.INC(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5" l="1"/>
  <c r="D11" i="5"/>
  <c r="D9" i="5"/>
  <c r="D7" i="5"/>
  <c r="D5" i="5"/>
  <c r="C12" i="4"/>
  <c r="C10" i="4"/>
  <c r="C8" i="4"/>
  <c r="C6" i="4"/>
  <c r="C4" i="4"/>
  <c r="C12" i="3"/>
  <c r="C10" i="3"/>
  <c r="C8" i="3"/>
  <c r="C6" i="3"/>
  <c r="C4" i="3"/>
  <c r="C12" i="2"/>
  <c r="C10" i="2"/>
  <c r="C8" i="2"/>
  <c r="C6" i="2"/>
  <c r="C4" i="2"/>
  <c r="E13" i="1"/>
  <c r="E11" i="1"/>
  <c r="E9" i="1"/>
  <c r="E7" i="1"/>
  <c r="E5" i="1"/>
</calcChain>
</file>

<file path=xl/sharedStrings.xml><?xml version="1.0" encoding="utf-8"?>
<sst xmlns="http://schemas.openxmlformats.org/spreadsheetml/2006/main" count="40" uniqueCount="35">
  <si>
    <r>
      <t xml:space="preserve">Returns the </t>
    </r>
    <r>
      <rPr>
        <b/>
        <sz val="11"/>
        <color theme="1"/>
        <rFont val="Calibri"/>
        <family val="2"/>
        <scheme val="minor"/>
      </rPr>
      <t>nth largest</t>
    </r>
    <r>
      <rPr>
        <sz val="11"/>
        <color theme="1"/>
        <rFont val="Calibri"/>
        <family val="2"/>
        <scheme val="minor"/>
      </rPr>
      <t xml:space="preserve"> number from a range.</t>
    </r>
  </si>
  <si>
    <t>LARGE()</t>
  </si>
  <si>
    <t>SMALL()</t>
  </si>
  <si>
    <t>Sales</t>
  </si>
  <si>
    <t>Largest value</t>
  </si>
  <si>
    <t>Second largest</t>
  </si>
  <si>
    <t>Third largest</t>
  </si>
  <si>
    <t>Fifth largest</t>
  </si>
  <si>
    <r>
      <t xml:space="preserve">Returns the </t>
    </r>
    <r>
      <rPr>
        <b/>
        <sz val="11"/>
        <color theme="1"/>
        <rFont val="Calibri"/>
        <family val="2"/>
        <scheme val="minor"/>
      </rPr>
      <t>nth smallest</t>
    </r>
    <r>
      <rPr>
        <sz val="11"/>
        <color theme="1"/>
        <rFont val="Calibri"/>
        <family val="2"/>
        <scheme val="minor"/>
      </rPr>
      <t xml:space="preserve"> number.</t>
    </r>
  </si>
  <si>
    <t>Smallest value</t>
  </si>
  <si>
    <t>largest value</t>
  </si>
  <si>
    <t>thrid smallest</t>
  </si>
  <si>
    <t>second smallest</t>
  </si>
  <si>
    <t>fifth smallest</t>
  </si>
  <si>
    <t>RANK.EQ()</t>
  </si>
  <si>
    <r>
      <t xml:space="preserve">Returns the </t>
    </r>
    <r>
      <rPr>
        <b/>
        <sz val="11"/>
        <color theme="1"/>
        <rFont val="Calibri"/>
        <family val="2"/>
        <scheme val="minor"/>
      </rPr>
      <t>rank</t>
    </r>
    <r>
      <rPr>
        <sz val="11"/>
        <color theme="1"/>
        <rFont val="Calibri"/>
        <family val="2"/>
        <scheme val="minor"/>
      </rPr>
      <t xml:space="preserve"> of a number.</t>
    </r>
  </si>
  <si>
    <t>Highest sale</t>
  </si>
  <si>
    <t>second highest</t>
  </si>
  <si>
    <t>third highest</t>
  </si>
  <si>
    <t>lowest sale</t>
  </si>
  <si>
    <t>fourth highest</t>
  </si>
  <si>
    <t>PERCENTILE.INC()</t>
  </si>
  <si>
    <t>Returns the value at a given percentile.</t>
  </si>
  <si>
    <t>25th percentile</t>
  </si>
  <si>
    <t>Median (50th percentile</t>
  </si>
  <si>
    <t>75th percentile</t>
  </si>
  <si>
    <t>90th percentile</t>
  </si>
  <si>
    <t>Maximum value</t>
  </si>
  <si>
    <t>QUARTILE.INC()</t>
  </si>
  <si>
    <t>Returns the quartile of a dataset.</t>
  </si>
  <si>
    <t>maximum</t>
  </si>
  <si>
    <t>third quartile</t>
  </si>
  <si>
    <t xml:space="preserve">meadian </t>
  </si>
  <si>
    <t>first quartile</t>
  </si>
  <si>
    <t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</si>
</sst>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35761-5655-4021-833F-49559B88A976}">
  <dimension ref="A2:G13"/>
  <sheetViews>
    <sheetView workbookViewId="0">
      <selection activeCell="E14" sqref="E14"/>
    </sheetView>
  </sheetViews>
  <sheetFormatPr defaultRowHeight="14.4" x14ac:dyDescent="0.3"/>
  <sheetData>
    <row r="2" spans="1:7" x14ac:dyDescent="0.3">
      <c r="A2" t="s">
        <v>1</v>
      </c>
      <c r="C2" t="s">
        <v>0</v>
      </c>
    </row>
    <row r="4" spans="1:7" x14ac:dyDescent="0.3">
      <c r="A4" s="2" t="s">
        <v>3</v>
      </c>
      <c r="G4" s="4"/>
    </row>
    <row r="5" spans="1:7" x14ac:dyDescent="0.3">
      <c r="A5" s="1">
        <v>1200</v>
      </c>
      <c r="E5">
        <f>LARGE(A5:A11,1)</f>
        <v>5000</v>
      </c>
      <c r="G5" s="4" t="s">
        <v>4</v>
      </c>
    </row>
    <row r="6" spans="1:7" x14ac:dyDescent="0.3">
      <c r="A6" s="1">
        <v>3500</v>
      </c>
    </row>
    <row r="7" spans="1:7" x14ac:dyDescent="0.3">
      <c r="A7" s="1">
        <v>2400</v>
      </c>
      <c r="E7">
        <f>LARGE(A5:A11,2)</f>
        <v>4200</v>
      </c>
      <c r="G7" t="s">
        <v>5</v>
      </c>
    </row>
    <row r="8" spans="1:7" x14ac:dyDescent="0.3">
      <c r="A8" s="1">
        <v>1800</v>
      </c>
    </row>
    <row r="9" spans="1:7" x14ac:dyDescent="0.3">
      <c r="A9" s="1">
        <v>5000</v>
      </c>
      <c r="E9">
        <f>LARGE(A5:A11,3)</f>
        <v>3500</v>
      </c>
      <c r="G9" t="s">
        <v>6</v>
      </c>
    </row>
    <row r="10" spans="1:7" x14ac:dyDescent="0.3">
      <c r="A10" s="1">
        <v>4200</v>
      </c>
    </row>
    <row r="11" spans="1:7" x14ac:dyDescent="0.3">
      <c r="A11" s="1">
        <v>2900</v>
      </c>
      <c r="E11">
        <f>LARGE(A5:A11,5)</f>
        <v>2400</v>
      </c>
      <c r="G11" t="s">
        <v>7</v>
      </c>
    </row>
    <row r="13" spans="1:7" x14ac:dyDescent="0.3">
      <c r="E13">
        <f>LARGE(A5:A11,5)</f>
        <v>2400</v>
      </c>
      <c r="G1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5ACC-3C3D-4B53-9225-FBFB050A28F8}">
  <dimension ref="A2:E12"/>
  <sheetViews>
    <sheetView workbookViewId="0">
      <selection activeCell="E16" sqref="E16"/>
    </sheetView>
  </sheetViews>
  <sheetFormatPr defaultRowHeight="14.4" x14ac:dyDescent="0.3"/>
  <sheetData>
    <row r="2" spans="1:5" x14ac:dyDescent="0.3">
      <c r="A2" t="s">
        <v>2</v>
      </c>
      <c r="C2" t="s">
        <v>8</v>
      </c>
    </row>
    <row r="4" spans="1:5" x14ac:dyDescent="0.3">
      <c r="A4" s="2" t="s">
        <v>3</v>
      </c>
      <c r="C4">
        <f>SMALL(A5:A11,1)</f>
        <v>1200</v>
      </c>
      <c r="E4" t="s">
        <v>9</v>
      </c>
    </row>
    <row r="5" spans="1:5" x14ac:dyDescent="0.3">
      <c r="A5" s="1">
        <v>1200</v>
      </c>
    </row>
    <row r="6" spans="1:5" x14ac:dyDescent="0.3">
      <c r="A6" s="1">
        <v>3500</v>
      </c>
      <c r="C6">
        <f>SMALL(A5:A11,2)</f>
        <v>1800</v>
      </c>
      <c r="E6" t="s">
        <v>12</v>
      </c>
    </row>
    <row r="7" spans="1:5" x14ac:dyDescent="0.3">
      <c r="A7" s="1">
        <v>2400</v>
      </c>
    </row>
    <row r="8" spans="1:5" x14ac:dyDescent="0.3">
      <c r="A8" s="1">
        <v>1800</v>
      </c>
      <c r="C8">
        <f>SMALL(A5:A11,3)</f>
        <v>2400</v>
      </c>
      <c r="E8" t="s">
        <v>11</v>
      </c>
    </row>
    <row r="9" spans="1:5" x14ac:dyDescent="0.3">
      <c r="A9" s="1">
        <v>5000</v>
      </c>
    </row>
    <row r="10" spans="1:5" x14ac:dyDescent="0.3">
      <c r="A10" s="1">
        <v>4200</v>
      </c>
      <c r="C10">
        <f>SMALL(A5:A11,5)</f>
        <v>3500</v>
      </c>
      <c r="E10" t="s">
        <v>13</v>
      </c>
    </row>
    <row r="11" spans="1:5" x14ac:dyDescent="0.3">
      <c r="A11" s="1">
        <v>2900</v>
      </c>
    </row>
    <row r="12" spans="1:5" x14ac:dyDescent="0.3">
      <c r="C12">
        <f>SMALL(A5:A11,7)</f>
        <v>5000</v>
      </c>
      <c r="E1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8777E-1AD9-4761-AC6C-0F0DBFDC6A7F}">
  <dimension ref="A2:E12"/>
  <sheetViews>
    <sheetView workbookViewId="0">
      <selection activeCell="D18" sqref="D18"/>
    </sheetView>
  </sheetViews>
  <sheetFormatPr defaultRowHeight="14.4" x14ac:dyDescent="0.3"/>
  <sheetData>
    <row r="2" spans="1:5" x14ac:dyDescent="0.3">
      <c r="A2" t="s">
        <v>14</v>
      </c>
      <c r="C2" t="s">
        <v>15</v>
      </c>
    </row>
    <row r="4" spans="1:5" x14ac:dyDescent="0.3">
      <c r="A4" s="2" t="s">
        <v>3</v>
      </c>
      <c r="C4">
        <f>_xlfn.RANK.EQ(A9,A4:A11)</f>
        <v>1</v>
      </c>
      <c r="E4" t="s">
        <v>16</v>
      </c>
    </row>
    <row r="5" spans="1:5" x14ac:dyDescent="0.3">
      <c r="A5" s="1">
        <v>1200</v>
      </c>
    </row>
    <row r="6" spans="1:5" x14ac:dyDescent="0.3">
      <c r="A6" s="1">
        <v>3500</v>
      </c>
      <c r="C6">
        <f>_xlfn.RANK.EQ(A10,A4:A11)</f>
        <v>2</v>
      </c>
      <c r="E6" t="s">
        <v>17</v>
      </c>
    </row>
    <row r="7" spans="1:5" x14ac:dyDescent="0.3">
      <c r="A7" s="1">
        <v>2400</v>
      </c>
    </row>
    <row r="8" spans="1:5" x14ac:dyDescent="0.3">
      <c r="A8" s="1">
        <v>1800</v>
      </c>
      <c r="C8">
        <f>_xlfn.RANK.EQ(A6,A4:A11)</f>
        <v>3</v>
      </c>
      <c r="E8" t="s">
        <v>18</v>
      </c>
    </row>
    <row r="9" spans="1:5" x14ac:dyDescent="0.3">
      <c r="A9" s="1">
        <v>5000</v>
      </c>
    </row>
    <row r="10" spans="1:5" x14ac:dyDescent="0.3">
      <c r="A10" s="1">
        <v>4200</v>
      </c>
      <c r="C10">
        <f>_xlfn.RANK.EQ(A5,A4:A11)</f>
        <v>7</v>
      </c>
      <c r="E10" t="s">
        <v>19</v>
      </c>
    </row>
    <row r="11" spans="1:5" x14ac:dyDescent="0.3">
      <c r="A11" s="1">
        <v>2900</v>
      </c>
    </row>
    <row r="12" spans="1:5" x14ac:dyDescent="0.3">
      <c r="C12">
        <f>_xlfn.RANK.EQ(A11,A4:A11)</f>
        <v>4</v>
      </c>
      <c r="E1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EC4FA-82E5-466A-8734-6255CAF8BE16}">
  <dimension ref="A2:E12"/>
  <sheetViews>
    <sheetView workbookViewId="0">
      <selection activeCell="C22" sqref="C22"/>
    </sheetView>
  </sheetViews>
  <sheetFormatPr defaultRowHeight="14.4" x14ac:dyDescent="0.3"/>
  <sheetData>
    <row r="2" spans="1:5" x14ac:dyDescent="0.3">
      <c r="A2" t="s">
        <v>21</v>
      </c>
      <c r="D2" t="s">
        <v>22</v>
      </c>
    </row>
    <row r="4" spans="1:5" x14ac:dyDescent="0.3">
      <c r="A4" s="2" t="s">
        <v>3</v>
      </c>
      <c r="C4">
        <f>_xlfn.PERCENTILE.INC(A4:A11,0.25)</f>
        <v>2100</v>
      </c>
      <c r="E4" t="s">
        <v>23</v>
      </c>
    </row>
    <row r="5" spans="1:5" x14ac:dyDescent="0.3">
      <c r="A5" s="1">
        <v>1200</v>
      </c>
    </row>
    <row r="6" spans="1:5" x14ac:dyDescent="0.3">
      <c r="A6" s="1">
        <v>3500</v>
      </c>
      <c r="C6">
        <f>_xlfn.PERCENTILE.INC(A4:A11,0.5)</f>
        <v>2900</v>
      </c>
      <c r="E6" t="s">
        <v>24</v>
      </c>
    </row>
    <row r="7" spans="1:5" x14ac:dyDescent="0.3">
      <c r="A7" s="1">
        <v>2400</v>
      </c>
    </row>
    <row r="8" spans="1:5" x14ac:dyDescent="0.3">
      <c r="A8" s="1">
        <v>1800</v>
      </c>
      <c r="C8">
        <f>_xlfn.PERCENTILE.INC(A4:A11,0.75)</f>
        <v>3850</v>
      </c>
      <c r="E8" t="s">
        <v>25</v>
      </c>
    </row>
    <row r="9" spans="1:5" x14ac:dyDescent="0.3">
      <c r="A9" s="1">
        <v>5000</v>
      </c>
    </row>
    <row r="10" spans="1:5" x14ac:dyDescent="0.3">
      <c r="A10" s="1">
        <v>4200</v>
      </c>
      <c r="C10">
        <f>_xlfn.PERCENTILE.INC(A4:A11,0.9)</f>
        <v>4520</v>
      </c>
      <c r="E10" t="s">
        <v>26</v>
      </c>
    </row>
    <row r="11" spans="1:5" x14ac:dyDescent="0.3">
      <c r="A11" s="1">
        <v>2900</v>
      </c>
    </row>
    <row r="12" spans="1:5" x14ac:dyDescent="0.3">
      <c r="C12">
        <f>_xlfn.PERCENTILE.INC(A4:A11,1)</f>
        <v>5000</v>
      </c>
      <c r="E12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ADD46-8436-4C7B-80E6-8BAFCFD1770C}">
  <dimension ref="A2:G13"/>
  <sheetViews>
    <sheetView tabSelected="1" workbookViewId="0">
      <selection activeCell="C12" sqref="C12"/>
    </sheetView>
  </sheetViews>
  <sheetFormatPr defaultRowHeight="14.4" x14ac:dyDescent="0.3"/>
  <sheetData>
    <row r="2" spans="1:7" x14ac:dyDescent="0.3">
      <c r="A2" t="s">
        <v>28</v>
      </c>
      <c r="D2" t="s">
        <v>29</v>
      </c>
    </row>
    <row r="4" spans="1:7" x14ac:dyDescent="0.3">
      <c r="A4" s="2" t="s">
        <v>3</v>
      </c>
      <c r="F4" s="2"/>
      <c r="G4" s="5"/>
    </row>
    <row r="5" spans="1:7" x14ac:dyDescent="0.3">
      <c r="A5" s="1">
        <v>1200</v>
      </c>
      <c r="D5">
        <f>_xlfn.QUARTILE.INC(A4:A11,0)</f>
        <v>1200</v>
      </c>
      <c r="F5" s="1"/>
      <c r="G5" s="3" t="s">
        <v>34</v>
      </c>
    </row>
    <row r="6" spans="1:7" x14ac:dyDescent="0.3">
      <c r="A6" s="1">
        <v>3500</v>
      </c>
      <c r="F6" s="1"/>
      <c r="G6" s="6"/>
    </row>
    <row r="7" spans="1:7" x14ac:dyDescent="0.3">
      <c r="A7" s="1">
        <v>2400</v>
      </c>
      <c r="D7">
        <f>_xlfn.QUARTILE.INC(A4:A11,1)</f>
        <v>2100</v>
      </c>
      <c r="F7" s="1"/>
      <c r="G7" s="4" t="s">
        <v>33</v>
      </c>
    </row>
    <row r="8" spans="1:7" x14ac:dyDescent="0.3">
      <c r="A8" s="1">
        <v>1800</v>
      </c>
      <c r="F8" s="1"/>
      <c r="G8" s="6"/>
    </row>
    <row r="9" spans="1:7" x14ac:dyDescent="0.3">
      <c r="A9" s="1">
        <v>5000</v>
      </c>
      <c r="D9">
        <f>_xlfn.QUARTILE.INC(A4:A11,2)</f>
        <v>2900</v>
      </c>
      <c r="F9" s="1"/>
      <c r="G9" s="3" t="s">
        <v>32</v>
      </c>
    </row>
    <row r="10" spans="1:7" x14ac:dyDescent="0.3">
      <c r="A10" s="1">
        <v>4200</v>
      </c>
    </row>
    <row r="11" spans="1:7" x14ac:dyDescent="0.3">
      <c r="A11" s="1">
        <v>2900</v>
      </c>
      <c r="D11">
        <f>_xlfn.QUARTILE.INC(A4:A11,3)</f>
        <v>3850</v>
      </c>
      <c r="G11" t="s">
        <v>31</v>
      </c>
    </row>
    <row r="13" spans="1:7" x14ac:dyDescent="0.3">
      <c r="D13">
        <f>_xlfn.QUARTILE.INC(A4:A11,4)</f>
        <v>5000</v>
      </c>
      <c r="G1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LARGE()</vt:lpstr>
      <vt:lpstr>SMALL()</vt:lpstr>
      <vt:lpstr>RANK.EQ()</vt:lpstr>
      <vt:lpstr>PERCENTILE.INC()</vt:lpstr>
      <vt:lpstr>QUARTILE.INC()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2026-08-04T06:20:22Z</dcterms:created>
  <dcterms:modified xsi:type="dcterms:W3CDTF">2026-08-04T06:41:25Z</dcterms:modified>
</cp:coreProperties>
</file>